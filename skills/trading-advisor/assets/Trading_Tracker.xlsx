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Trade Log" sheetId="3" state="visible" r:id="rId5"/>
    <sheet name="Monthly Dashboard" sheetId="4" state="visible" r:id="rId6"/>
    <sheet name="Reality 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<sst xmlns="http://schemas.openxmlformats.org/spreadsheetml/2006/main" count="112" uniqueCount="106">
  <si>
    <t xml:space="preserve">Quant Trading Tracker  —  cee</t>
  </si>
  <si>
    <t xml:space="preserve">How this workbook works</t>
  </si>
  <si>
    <t xml:space="preserve">1. Settings tab</t>
  </si>
  <si>
    <t xml:space="preserve">Set your starting capital, monthly contribution, risk %, reward:risk, and the ₱100,000 monthly target. Blue cells are the only ones you change.</t>
  </si>
  <si>
    <t xml:space="preserve">2. Trade Log tab</t>
  </si>
  <si>
    <t xml:space="preserve">Each end-of-day (EOD), add one row per trade. Enter the date, session, platform, ticker, prices, position size, risk, and realized P/L. Everything else auto-calculates.</t>
  </si>
  <si>
    <t xml:space="preserve">3. Monthly Dashboard tab</t>
  </si>
  <si>
    <t xml:space="preserve">Reads the Trade Log automatically. Shows tradable capital, the 50% reinvested / 50% secured split, % to the ₱100k target, and a feasibility flag — per month, for 6 months.</t>
  </si>
  <si>
    <t xml:space="preserve">4. Reality Check tab</t>
  </si>
  <si>
    <t xml:space="preserve">Shows what monthly return your capital must earn to produce ₱100k, and projects realistic growth so you can see the gap and adjust the plan honestly.</t>
  </si>
  <si>
    <t xml:space="preserve">Colour code</t>
  </si>
  <si>
    <t xml:space="preserve">Blue text</t>
  </si>
  <si>
    <t xml:space="preserve">Inputs you type.</t>
  </si>
  <si>
    <t xml:space="preserve">Black text</t>
  </si>
  <si>
    <t xml:space="preserve">Formulas — do not overwrite.</t>
  </si>
  <si>
    <t xml:space="preserve">Green text</t>
  </si>
  <si>
    <t xml:space="preserve">Pulls a value from another tab.</t>
  </si>
  <si>
    <t xml:space="preserve">Yellow fill</t>
  </si>
  <si>
    <t xml:space="preserve">Key assumption to keep current.</t>
  </si>
  <si>
    <t xml:space="preserve">Golden rules</t>
  </si>
  <si>
    <t xml:space="preserve">Risk</t>
  </si>
  <si>
    <t xml:space="preserve">Never risk more than 2% of the portfolio on one trade. Reward:risk must be at least 1:2.</t>
  </si>
  <si>
    <t xml:space="preserve">Circuit-breaker</t>
  </si>
  <si>
    <t xml:space="preserve">Stop for the day at −4% realized. Cut size to 0.5% after a 10% weekly drawdown.</t>
  </si>
  <si>
    <t xml:space="preserve">Execution</t>
  </si>
  <si>
    <t xml:space="preserve">This advisor analyses and sizes; you place every order yourself.</t>
  </si>
  <si>
    <t xml:space="preserve">Settings  —  edit blue cells only</t>
  </si>
  <si>
    <t xml:space="preserve">Parameter</t>
  </si>
  <si>
    <t xml:space="preserve">Value</t>
  </si>
  <si>
    <t xml:space="preserve">Unit / Note</t>
  </si>
  <si>
    <t xml:space="preserve">Starting capital (already in account)</t>
  </si>
  <si>
    <t xml:space="preserve">PHP — set 0 if your first ₱10k contribution is month 1</t>
  </si>
  <si>
    <t xml:space="preserve">Monthly capital contribution</t>
  </si>
  <si>
    <t xml:space="preserve">PHP, added at the start of each month</t>
  </si>
  <si>
    <t xml:space="preserve">Reinvest share of profit</t>
  </si>
  <si>
    <t xml:space="preserve">% of realized profit recycled into capital</t>
  </si>
  <si>
    <t xml:space="preserve">Secure share of profit</t>
  </si>
  <si>
    <t xml:space="preserve">% of realized profit moved to the safe bucket</t>
  </si>
  <si>
    <t xml:space="preserve">Max risk per trade</t>
  </si>
  <si>
    <t xml:space="preserve">% of portfolio (use 0.01 in choppy regimes)</t>
  </si>
  <si>
    <t xml:space="preserve">Minimum reward : risk</t>
  </si>
  <si>
    <t xml:space="preserve">x — target must be ≥ 2× the risk</t>
  </si>
  <si>
    <t xml:space="preserve">Monthly net-profit target</t>
  </si>
  <si>
    <t xml:space="preserve">PHP — the goal</t>
  </si>
  <si>
    <t xml:space="preserve">Program start month</t>
  </si>
  <si>
    <t xml:space="preserve">first month of the 6-month ramp</t>
  </si>
  <si>
    <t xml:space="preserve">PHP per 1 USD (FX ref.)</t>
  </si>
  <si>
    <t xml:space="preserve">for sizing GoTrade / USD trades</t>
  </si>
  <si>
    <t xml:space="preserve">Trade Log  —  add one row per EOD trade</t>
  </si>
  <si>
    <t xml:space="preserve">Date</t>
  </si>
  <si>
    <t xml:space="preserve">Month</t>
  </si>
  <si>
    <t xml:space="preserve">Session</t>
  </si>
  <si>
    <t xml:space="preserve">Platform</t>
  </si>
  <si>
    <t xml:space="preserve">Ticker</t>
  </si>
  <si>
    <t xml:space="preserve">Action</t>
  </si>
  <si>
    <t xml:space="preserve">Entry</t>
  </si>
  <si>
    <t xml:space="preserve">Stop</t>
  </si>
  <si>
    <t xml:space="preserve">Take-Profit</t>
  </si>
  <si>
    <t xml:space="preserve">Size (units)</t>
  </si>
  <si>
    <t xml:space="preserve">Risk ₱</t>
  </si>
  <si>
    <t xml:space="preserve">Risk %</t>
  </si>
  <si>
    <t xml:space="preserve">Realized P/L ₱</t>
  </si>
  <si>
    <t xml:space="preserve">R multiple</t>
  </si>
  <si>
    <t xml:space="preserve">Cumulative P/L ₱</t>
  </si>
  <si>
    <t xml:space="preserve">Notes</t>
  </si>
  <si>
    <t xml:space="preserve">US</t>
  </si>
  <si>
    <t xml:space="preserve">GoTrade</t>
  </si>
  <si>
    <t xml:space="preserve">VOO</t>
  </si>
  <si>
    <t xml:space="preserve">Buy</t>
  </si>
  <si>
    <t xml:space="preserve">example — delete me</t>
  </si>
  <si>
    <t xml:space="preserve">Monthly Dashboard  —  6-month ramp to ₱100,000 / month</t>
  </si>
  <si>
    <t xml:space="preserve">Month #</t>
  </si>
  <si>
    <t xml:space="preserve">Start Tradable ₱</t>
  </si>
  <si>
    <t xml:space="preserve">+ Contribution ₱</t>
  </si>
  <si>
    <t xml:space="preserve">Deployed Capital ₱</t>
  </si>
  <si>
    <t xml:space="preserve">Reinvested 50% ₱</t>
  </si>
  <si>
    <t xml:space="preserve">Secured 50% ₱</t>
  </si>
  <si>
    <t xml:space="preserve">End Tradable ₱</t>
  </si>
  <si>
    <t xml:space="preserve">Cumulative Secured ₱</t>
  </si>
  <si>
    <t xml:space="preserve">Target ₱</t>
  </si>
  <si>
    <t xml:space="preserve">% to Target</t>
  </si>
  <si>
    <t xml:space="preserve">Req. Monthly Return</t>
  </si>
  <si>
    <t xml:space="preserve">Feasibility</t>
  </si>
  <si>
    <t xml:space="preserve">TOTAL</t>
  </si>
  <si>
    <t xml:space="preserve">Quick status</t>
  </si>
  <si>
    <t xml:space="preserve">Current tradable capital</t>
  </si>
  <si>
    <t xml:space="preserve">Total secured (safe) to date</t>
  </si>
  <si>
    <t xml:space="preserve">Best month vs target</t>
  </si>
  <si>
    <t xml:space="preserve">Latest month realized P/L</t>
  </si>
  <si>
    <t xml:space="preserve">Reality Check  —  what the ₱100k target actually requires</t>
  </si>
  <si>
    <t xml:space="preserve">A. Capital needed to earn ₱100,000 / month at a given monthly return</t>
  </si>
  <si>
    <t xml:space="preserve">Monthly return on capital</t>
  </si>
  <si>
    <t xml:space="preserve">Capital required for ₱100k/mo</t>
  </si>
  <si>
    <t xml:space="preserve">Read</t>
  </si>
  <si>
    <t xml:space="preserve">Conservative</t>
  </si>
  <si>
    <t xml:space="preserve">Strong</t>
  </si>
  <si>
    <t xml:space="preserve">Aggressive</t>
  </si>
  <si>
    <t xml:space="preserve">Very aggressive</t>
  </si>
  <si>
    <t xml:space="preserve">Extreme</t>
  </si>
  <si>
    <t xml:space="preserve">Lottery-tier</t>
  </si>
  <si>
    <t xml:space="preserve">B. Projected growth from contributions + 50% reinvested profit</t>
  </si>
  <si>
    <t xml:space="preserve">Assumed monthly return (edit):</t>
  </si>
  <si>
    <t xml:space="preserve">Gross Profit ₱</t>
  </si>
  <si>
    <t xml:space="preserve">Monthly Profit vs ₱100k</t>
  </si>
  <si>
    <t xml:space="preserve">Secured cum- ₱</t>
  </si>
  <si>
    <t xml:space="preserve">C. Verdict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</si>
</sst>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₱#,##0;&quot;(₱&quot;#,##0\);\-"/>
    <numFmt numFmtId="166" formatCode="0.0%;\(0.0%\);\-"/>
    <numFmt numFmtId="167" formatCode="0.0"/>
    <numFmt numFmtId="168" formatCode="yyyy\-mm"/>
    <numFmt numFmtId="169" formatCode="0.00"/>
    <numFmt numFmtId="170" formatCode="yyyy\-mm\-dd"/>
    <numFmt numFmtId="171" formatCode="0.0000"/>
    <numFmt numFmtId="172" formatCode="0.0\R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EEF3FB"/>
      </patternFill>
    </fill>
    <fill>
      <patternFill patternType="solid">
        <fgColor rgb="FFEE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1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2" t="s">
        <v>2</v>
      </c>
      <c r="B5" s="3" t="s">
        <v>3</v>
      </c>
      <c r="C5" s="3"/>
      <c r="D5" s="3"/>
      <c r="E5" s="3"/>
      <c r="F5" s="3"/>
      <c r="G5" s="3"/>
      <c r="H5" s="3"/>
    </row>
    <row r="6" customFormat="false" ht="30" hidden="false" customHeight="true" outlineLevel="0" collapsed="false">
      <c r="A6" s="2" t="s">
        <v>4</v>
      </c>
      <c r="B6" s="3" t="s">
        <v>5</v>
      </c>
      <c r="C6" s="3"/>
      <c r="D6" s="3"/>
      <c r="E6" s="3"/>
      <c r="F6" s="3"/>
      <c r="G6" s="3"/>
      <c r="H6" s="3"/>
    </row>
    <row r="7" customFormat="false" ht="30" hidden="false" customHeight="true" outlineLevel="0" collapsed="false">
      <c r="A7" s="2" t="s">
        <v>6</v>
      </c>
      <c r="B7" s="3" t="s">
        <v>7</v>
      </c>
      <c r="C7" s="3"/>
      <c r="D7" s="3"/>
      <c r="E7" s="3"/>
      <c r="F7" s="3"/>
      <c r="G7" s="3"/>
      <c r="H7" s="3"/>
    </row>
    <row r="8" customFormat="false" ht="30" hidden="false" customHeight="true" outlineLevel="0" collapsed="false">
      <c r="A8" s="2" t="s">
        <v>8</v>
      </c>
      <c r="B8" s="3" t="s">
        <v>9</v>
      </c>
      <c r="C8" s="3"/>
      <c r="D8" s="3"/>
      <c r="E8" s="3"/>
      <c r="F8" s="3"/>
      <c r="G8" s="3"/>
      <c r="H8" s="3"/>
    </row>
    <row r="9" customFormat="false" ht="30" hidden="false" customHeight="true" outlineLevel="0" collapsed="false">
      <c r="A9" s="2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10</v>
      </c>
      <c r="B10" s="4"/>
      <c r="C10" s="4"/>
      <c r="D10" s="4"/>
      <c r="E10" s="4"/>
      <c r="F10" s="4"/>
      <c r="G10" s="4"/>
      <c r="H10" s="4"/>
    </row>
    <row r="11" customFormat="false" ht="30" hidden="false" customHeight="true" outlineLevel="0" collapsed="false">
      <c r="A11" s="2" t="s">
        <v>11</v>
      </c>
      <c r="B11" s="3" t="s">
        <v>12</v>
      </c>
      <c r="C11" s="3"/>
      <c r="D11" s="3"/>
      <c r="E11" s="3"/>
      <c r="F11" s="3"/>
      <c r="G11" s="3"/>
      <c r="H11" s="3"/>
    </row>
    <row r="12" customFormat="false" ht="30" hidden="false" customHeight="true" outlineLevel="0" collapsed="false">
      <c r="A12" s="2" t="s">
        <v>13</v>
      </c>
      <c r="B12" s="3" t="s">
        <v>14</v>
      </c>
      <c r="C12" s="3"/>
      <c r="D12" s="3"/>
      <c r="E12" s="3"/>
      <c r="F12" s="3"/>
      <c r="G12" s="3"/>
      <c r="H12" s="3"/>
    </row>
    <row r="13" customFormat="false" ht="30" hidden="false" customHeight="true" outlineLevel="0" collapsed="false">
      <c r="A13" s="2" t="s">
        <v>15</v>
      </c>
      <c r="B13" s="3" t="s">
        <v>16</v>
      </c>
      <c r="C13" s="3"/>
      <c r="D13" s="3"/>
      <c r="E13" s="3"/>
      <c r="F13" s="3"/>
      <c r="G13" s="3"/>
      <c r="H13" s="3"/>
    </row>
    <row r="14" customFormat="false" ht="30" hidden="false" customHeight="true" outlineLevel="0" collapsed="false">
      <c r="A14" s="2" t="s">
        <v>17</v>
      </c>
      <c r="B14" s="3" t="s">
        <v>18</v>
      </c>
      <c r="C14" s="3"/>
      <c r="D14" s="3"/>
      <c r="E14" s="3"/>
      <c r="F14" s="3"/>
      <c r="G14" s="3"/>
      <c r="H14" s="3"/>
    </row>
    <row r="15" customFormat="false" ht="30" hidden="false" customHeight="true" outlineLevel="0" collapsed="false">
      <c r="A15" s="2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4" t="s">
        <v>19</v>
      </c>
      <c r="B16" s="4"/>
      <c r="C16" s="4"/>
      <c r="D16" s="4"/>
      <c r="E16" s="4"/>
      <c r="F16" s="4"/>
      <c r="G16" s="4"/>
      <c r="H16" s="4"/>
    </row>
    <row r="17" customFormat="false" ht="30" hidden="false" customHeight="true" outlineLevel="0" collapsed="false">
      <c r="A17" s="2" t="s">
        <v>20</v>
      </c>
      <c r="B17" s="3" t="s">
        <v>21</v>
      </c>
      <c r="C17" s="3"/>
      <c r="D17" s="3"/>
      <c r="E17" s="3"/>
      <c r="F17" s="3"/>
      <c r="G17" s="3"/>
      <c r="H17" s="3"/>
    </row>
    <row r="18" customFormat="false" ht="30" hidden="false" customHeight="true" outlineLevel="0" collapsed="false">
      <c r="A18" s="2" t="s">
        <v>22</v>
      </c>
      <c r="B18" s="3" t="s">
        <v>23</v>
      </c>
      <c r="C18" s="3"/>
      <c r="D18" s="3"/>
      <c r="E18" s="3"/>
      <c r="F18" s="3"/>
      <c r="G18" s="3"/>
      <c r="H18" s="3"/>
    </row>
    <row r="19" customFormat="false" ht="30" hidden="false" customHeight="true" outlineLevel="0" collapsed="false">
      <c r="A19" s="2" t="s">
        <v>24</v>
      </c>
      <c r="B19" s="3" t="s">
        <v>25</v>
      </c>
      <c r="C19" s="3"/>
      <c r="D19" s="3"/>
      <c r="E19" s="3"/>
      <c r="F19" s="3"/>
      <c r="G19" s="3"/>
      <c r="H19" s="3"/>
    </row>
  </sheetData>
  <mergeCells count="18">
    <mergeCell ref="A1:H1"/>
    <mergeCell ref="B3:H3"/>
    <mergeCell ref="A4:H4"/>
    <mergeCell ref="B5:H5"/>
    <mergeCell ref="B6:H6"/>
    <mergeCell ref="B7:H7"/>
    <mergeCell ref="B8:H8"/>
    <mergeCell ref="B9:H9"/>
    <mergeCell ref="A10:H10"/>
    <mergeCell ref="B11:H11"/>
    <mergeCell ref="B12:H12"/>
    <mergeCell ref="B13:H13"/>
    <mergeCell ref="B14:H14"/>
    <mergeCell ref="B15:H15"/>
    <mergeCell ref="A16:H16"/>
    <mergeCell ref="B17:H17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26</v>
      </c>
      <c r="B1" s="1"/>
      <c r="C1" s="1"/>
      <c r="D1" s="1"/>
    </row>
    <row r="3" customFormat="false" ht="30" hidden="false" customHeight="true" outlineLevel="0" collapsed="false">
      <c r="A3" s="5" t="s">
        <v>27</v>
      </c>
      <c r="B3" s="5" t="s">
        <v>28</v>
      </c>
      <c r="C3" s="5" t="s">
        <v>29</v>
      </c>
      <c r="D3" s="5"/>
    </row>
    <row r="4" customFormat="false" ht="15" hidden="false" customHeight="false" outlineLevel="0" collapsed="false">
      <c r="A4" s="6" t="s">
        <v>30</v>
      </c>
      <c r="B4" s="7" t="n">
        <v>0</v>
      </c>
      <c r="C4" s="8" t="s">
        <v>31</v>
      </c>
    </row>
    <row r="5" customFormat="false" ht="15" hidden="false" customHeight="false" outlineLevel="0" collapsed="false">
      <c r="A5" s="6" t="s">
        <v>32</v>
      </c>
      <c r="B5" s="7" t="n">
        <v>10000</v>
      </c>
      <c r="C5" s="8" t="s">
        <v>33</v>
      </c>
    </row>
    <row r="6" customFormat="false" ht="15" hidden="false" customHeight="false" outlineLevel="0" collapsed="false">
      <c r="A6" s="6" t="s">
        <v>34</v>
      </c>
      <c r="B6" s="9" t="n">
        <v>0.5</v>
      </c>
      <c r="C6" s="8" t="s">
        <v>35</v>
      </c>
    </row>
    <row r="7" customFormat="false" ht="15" hidden="false" customHeight="false" outlineLevel="0" collapsed="false">
      <c r="A7" s="6" t="s">
        <v>36</v>
      </c>
      <c r="B7" s="10" t="n">
        <f aca="false">1-B6</f>
        <v>0.5</v>
      </c>
      <c r="C7" s="8" t="s">
        <v>37</v>
      </c>
    </row>
    <row r="8" customFormat="false" ht="15" hidden="false" customHeight="false" outlineLevel="0" collapsed="false">
      <c r="A8" s="6" t="s">
        <v>38</v>
      </c>
      <c r="B8" s="9" t="n">
        <v>0.02</v>
      </c>
      <c r="C8" s="8" t="s">
        <v>39</v>
      </c>
    </row>
    <row r="9" customFormat="false" ht="15" hidden="false" customHeight="false" outlineLevel="0" collapsed="false">
      <c r="A9" s="6" t="s">
        <v>40</v>
      </c>
      <c r="B9" s="11" t="n">
        <v>2</v>
      </c>
      <c r="C9" s="8" t="s">
        <v>41</v>
      </c>
    </row>
    <row r="10" customFormat="false" ht="15" hidden="false" customHeight="false" outlineLevel="0" collapsed="false">
      <c r="A10" s="6" t="s">
        <v>42</v>
      </c>
      <c r="B10" s="7" t="n">
        <v>100000</v>
      </c>
      <c r="C10" s="8" t="s">
        <v>43</v>
      </c>
    </row>
    <row r="11" customFormat="false" ht="15" hidden="false" customHeight="false" outlineLevel="0" collapsed="false">
      <c r="A11" s="6" t="s">
        <v>44</v>
      </c>
      <c r="B11" s="12" t="n">
        <f aca="false">DATE(2026,6,1)</f>
        <v>46174</v>
      </c>
      <c r="C11" s="8" t="s">
        <v>45</v>
      </c>
    </row>
    <row r="12" customFormat="false" ht="15" hidden="false" customHeight="false" outlineLevel="0" collapsed="false">
      <c r="A12" s="6" t="s">
        <v>46</v>
      </c>
      <c r="B12" s="13" t="n">
        <v>56</v>
      </c>
      <c r="C12" s="8" t="s">
        <v>47</v>
      </c>
    </row>
    <row r="13" customFormat="false" ht="15" hidden="false" customHeight="false" outlineLevel="0" collapsed="false">
      <c r="B13" s="1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8" min="7" style="0" width="10"/>
    <col collapsed="false" customWidth="true" hidden="false" outlineLevel="0" max="11" min="9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false" outlineLevel="0" max="16" min="16" style="0" width="24"/>
  </cols>
  <sheetData>
    <row r="1" customFormat="false" ht="25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5" t="s">
        <v>61</v>
      </c>
      <c r="N3" s="5" t="s">
        <v>62</v>
      </c>
      <c r="O3" s="5" t="s">
        <v>63</v>
      </c>
      <c r="P3" s="5" t="s">
        <v>64</v>
      </c>
    </row>
    <row r="4" customFormat="false" ht="15" hidden="false" customHeight="false" outlineLevel="0" collapsed="false">
      <c r="A4" s="15" t="n">
        <f aca="false">DATE(2026,6,19)</f>
        <v>46192</v>
      </c>
      <c r="B4" s="16" t="str">
        <f aca="false">IF($A4="","",TEXT($A4,"YYYY-MM"))</f>
        <v>2026-06</v>
      </c>
      <c r="C4" s="17" t="s">
        <v>65</v>
      </c>
      <c r="D4" s="17" t="s">
        <v>66</v>
      </c>
      <c r="E4" s="17" t="s">
        <v>67</v>
      </c>
      <c r="F4" s="17" t="s">
        <v>68</v>
      </c>
      <c r="G4" s="18" t="n">
        <v>512.4</v>
      </c>
      <c r="H4" s="18" t="n">
        <v>506</v>
      </c>
      <c r="I4" s="18" t="n">
        <v>525.2</v>
      </c>
      <c r="J4" s="17" t="n">
        <v>0.9</v>
      </c>
      <c r="K4" s="19" t="n">
        <v>300</v>
      </c>
      <c r="L4" s="20" t="n">
        <f aca="false">IF($A4="","",$K4/(Settings!$B$4+Settings!$B$5+SUM($M$3:$M3)))</f>
        <v>0.03</v>
      </c>
      <c r="M4" s="19" t="n">
        <v>540</v>
      </c>
      <c r="N4" s="21" t="n">
        <f aca="false">IF(OR($A4="",$K4=0),"",$M4/$K4)</f>
        <v>1.8</v>
      </c>
      <c r="O4" s="22" t="n">
        <f aca="false">IF($A4="","",SUM($M$4:$M4))</f>
        <v>540</v>
      </c>
      <c r="P4" s="17" t="s">
        <v>69</v>
      </c>
    </row>
    <row r="5" customFormat="false" ht="15" hidden="false" customHeight="false" outlineLevel="0" collapsed="false">
      <c r="A5" s="23"/>
      <c r="B5" s="24" t="str">
        <f aca="false">IF($A5="","",TEXT($A5,"YYYY-MM"))</f>
        <v/>
      </c>
      <c r="C5" s="25"/>
      <c r="D5" s="25"/>
      <c r="E5" s="25"/>
      <c r="F5" s="25"/>
      <c r="G5" s="26"/>
      <c r="H5" s="26"/>
      <c r="I5" s="26"/>
      <c r="J5" s="25"/>
      <c r="K5" s="27"/>
      <c r="L5" s="28" t="str">
        <f aca="false">IF($A5="","",$K5/(Settings!$B$4+Settings!$B$5+SUM($M$3:$M4)))</f>
        <v/>
      </c>
      <c r="M5" s="27"/>
      <c r="N5" s="29" t="str">
        <f aca="false">IF(OR($A5="",$K5=0),"",$M5/$K5)</f>
        <v/>
      </c>
      <c r="O5" s="27" t="str">
        <f aca="false">IF($A5="","",SUM($M$4:$M5))</f>
        <v/>
      </c>
      <c r="P5" s="25"/>
    </row>
    <row r="6" customFormat="false" ht="15" hidden="false" customHeight="false" outlineLevel="0" collapsed="false">
      <c r="A6" s="30"/>
      <c r="B6" s="16" t="str">
        <f aca="false">IF($A6="","",TEXT($A6,"YYYY-MM"))</f>
        <v/>
      </c>
      <c r="C6" s="31"/>
      <c r="D6" s="31"/>
      <c r="E6" s="31"/>
      <c r="F6" s="31"/>
      <c r="G6" s="32"/>
      <c r="H6" s="32"/>
      <c r="I6" s="32"/>
      <c r="J6" s="31"/>
      <c r="K6" s="22"/>
      <c r="L6" s="20" t="str">
        <f aca="false">IF($A6="","",$K6/(Settings!$B$4+Settings!$B$5+SUM($M$3:$M5)))</f>
        <v/>
      </c>
      <c r="M6" s="22"/>
      <c r="N6" s="21" t="str">
        <f aca="false">IF(OR($A6="",$K6=0),"",$M6/$K6)</f>
        <v/>
      </c>
      <c r="O6" s="22" t="str">
        <f aca="false">IF($A6="","",SUM($M$4:$M6))</f>
        <v/>
      </c>
      <c r="P6" s="31"/>
    </row>
    <row r="7" customFormat="false" ht="15" hidden="false" customHeight="false" outlineLevel="0" collapsed="false">
      <c r="A7" s="23"/>
      <c r="B7" s="24" t="str">
        <f aca="false">IF($A7="","",TEXT($A7,"YYYY-MM"))</f>
        <v/>
      </c>
      <c r="C7" s="25"/>
      <c r="D7" s="25"/>
      <c r="E7" s="25"/>
      <c r="F7" s="25"/>
      <c r="G7" s="26"/>
      <c r="H7" s="26"/>
      <c r="I7" s="26"/>
      <c r="J7" s="25"/>
      <c r="K7" s="27"/>
      <c r="L7" s="28" t="str">
        <f aca="false">IF($A7="","",$K7/(Settings!$B$4+Settings!$B$5+SUM($M$3:$M6)))</f>
        <v/>
      </c>
      <c r="M7" s="27"/>
      <c r="N7" s="29" t="str">
        <f aca="false">IF(OR($A7="",$K7=0),"",$M7/$K7)</f>
        <v/>
      </c>
      <c r="O7" s="27" t="str">
        <f aca="false">IF($A7="","",SUM($M$4:$M7))</f>
        <v/>
      </c>
      <c r="P7" s="25"/>
    </row>
    <row r="8" customFormat="false" ht="15" hidden="false" customHeight="false" outlineLevel="0" collapsed="false">
      <c r="A8" s="30"/>
      <c r="B8" s="16" t="str">
        <f aca="false">IF($A8="","",TEXT($A8,"YYYY-MM"))</f>
        <v/>
      </c>
      <c r="C8" s="31"/>
      <c r="D8" s="31"/>
      <c r="E8" s="31"/>
      <c r="F8" s="31"/>
      <c r="G8" s="32"/>
      <c r="H8" s="32"/>
      <c r="I8" s="32"/>
      <c r="J8" s="31"/>
      <c r="K8" s="22"/>
      <c r="L8" s="20" t="str">
        <f aca="false">IF($A8="","",$K8/(Settings!$B$4+Settings!$B$5+SUM($M$3:$M7)))</f>
        <v/>
      </c>
      <c r="M8" s="22"/>
      <c r="N8" s="21" t="str">
        <f aca="false">IF(OR($A8="",$K8=0),"",$M8/$K8)</f>
        <v/>
      </c>
      <c r="O8" s="22" t="str">
        <f aca="false">IF($A8="","",SUM($M$4:$M8))</f>
        <v/>
      </c>
      <c r="P8" s="31"/>
    </row>
    <row r="9" customFormat="false" ht="15" hidden="false" customHeight="false" outlineLevel="0" collapsed="false">
      <c r="A9" s="23"/>
      <c r="B9" s="24" t="str">
        <f aca="false">IF($A9="","",TEXT($A9,"YYYY-MM"))</f>
        <v/>
      </c>
      <c r="C9" s="25"/>
      <c r="D9" s="25"/>
      <c r="E9" s="25"/>
      <c r="F9" s="25"/>
      <c r="G9" s="26"/>
      <c r="H9" s="26"/>
      <c r="I9" s="26"/>
      <c r="J9" s="25"/>
      <c r="K9" s="27"/>
      <c r="L9" s="28" t="str">
        <f aca="false">IF($A9="","",$K9/(Settings!$B$4+Settings!$B$5+SUM($M$3:$M8)))</f>
        <v/>
      </c>
      <c r="M9" s="27"/>
      <c r="N9" s="29" t="str">
        <f aca="false">IF(OR($A9="",$K9=0),"",$M9/$K9)</f>
        <v/>
      </c>
      <c r="O9" s="27" t="str">
        <f aca="false">IF($A9="","",SUM($M$4:$M9))</f>
        <v/>
      </c>
      <c r="P9" s="25"/>
    </row>
    <row r="10" customFormat="false" ht="15" hidden="false" customHeight="false" outlineLevel="0" collapsed="false">
      <c r="A10" s="30"/>
      <c r="B10" s="16" t="str">
        <f aca="false">IF($A10="","",TEXT($A10,"YYYY-MM"))</f>
        <v/>
      </c>
      <c r="C10" s="31"/>
      <c r="D10" s="31"/>
      <c r="E10" s="31"/>
      <c r="F10" s="31"/>
      <c r="G10" s="32"/>
      <c r="H10" s="32"/>
      <c r="I10" s="32"/>
      <c r="J10" s="31"/>
      <c r="K10" s="22"/>
      <c r="L10" s="20" t="str">
        <f aca="false">IF($A10="","",$K10/(Settings!$B$4+Settings!$B$5+SUM($M$3:$M9)))</f>
        <v/>
      </c>
      <c r="M10" s="22"/>
      <c r="N10" s="21" t="str">
        <f aca="false">IF(OR($A10="",$K10=0),"",$M10/$K10)</f>
        <v/>
      </c>
      <c r="O10" s="22" t="str">
        <f aca="false">IF($A10="","",SUM($M$4:$M10))</f>
        <v/>
      </c>
      <c r="P10" s="31"/>
    </row>
    <row r="11" customFormat="false" ht="15" hidden="false" customHeight="false" outlineLevel="0" collapsed="false">
      <c r="A11" s="23"/>
      <c r="B11" s="24" t="str">
        <f aca="false">IF($A11="","",TEXT($A11,"YYYY-MM"))</f>
        <v/>
      </c>
      <c r="C11" s="25"/>
      <c r="D11" s="25"/>
      <c r="E11" s="25"/>
      <c r="F11" s="25"/>
      <c r="G11" s="26"/>
      <c r="H11" s="26"/>
      <c r="I11" s="26"/>
      <c r="J11" s="25"/>
      <c r="K11" s="27"/>
      <c r="L11" s="28" t="str">
        <f aca="false">IF($A11="","",$K11/(Settings!$B$4+Settings!$B$5+SUM($M$3:$M10)))</f>
        <v/>
      </c>
      <c r="M11" s="27"/>
      <c r="N11" s="29" t="str">
        <f aca="false">IF(OR($A11="",$K11=0),"",$M11/$K11)</f>
        <v/>
      </c>
      <c r="O11" s="27" t="str">
        <f aca="false">IF($A11="","",SUM($M$4:$M11))</f>
        <v/>
      </c>
      <c r="P11" s="25"/>
    </row>
    <row r="12" customFormat="false" ht="15" hidden="false" customHeight="false" outlineLevel="0" collapsed="false">
      <c r="A12" s="30"/>
      <c r="B12" s="16" t="str">
        <f aca="false">IF($A12="","",TEXT($A12,"YYYY-MM"))</f>
        <v/>
      </c>
      <c r="C12" s="31"/>
      <c r="D12" s="31"/>
      <c r="E12" s="31"/>
      <c r="F12" s="31"/>
      <c r="G12" s="32"/>
      <c r="H12" s="32"/>
      <c r="I12" s="32"/>
      <c r="J12" s="31"/>
      <c r="K12" s="22"/>
      <c r="L12" s="20" t="str">
        <f aca="false">IF($A12="","",$K12/(Settings!$B$4+Settings!$B$5+SUM($M$3:$M11)))</f>
        <v/>
      </c>
      <c r="M12" s="22"/>
      <c r="N12" s="21" t="str">
        <f aca="false">IF(OR($A12="",$K12=0),"",$M12/$K12)</f>
        <v/>
      </c>
      <c r="O12" s="22" t="str">
        <f aca="false">IF($A12="","",SUM($M$4:$M12))</f>
        <v/>
      </c>
      <c r="P12" s="31"/>
    </row>
    <row r="13" customFormat="false" ht="15" hidden="false" customHeight="false" outlineLevel="0" collapsed="false">
      <c r="A13" s="23"/>
      <c r="B13" s="24" t="str">
        <f aca="false">IF($A13="","",TEXT($A13,"YYYY-MM"))</f>
        <v/>
      </c>
      <c r="C13" s="25"/>
      <c r="D13" s="25"/>
      <c r="E13" s="25"/>
      <c r="F13" s="25"/>
      <c r="G13" s="26"/>
      <c r="H13" s="26"/>
      <c r="I13" s="26"/>
      <c r="J13" s="25"/>
      <c r="K13" s="27"/>
      <c r="L13" s="28" t="str">
        <f aca="false">IF($A13="","",$K13/(Settings!$B$4+Settings!$B$5+SUM($M$3:$M12)))</f>
        <v/>
      </c>
      <c r="M13" s="27"/>
      <c r="N13" s="29" t="str">
        <f aca="false">IF(OR($A13="",$K13=0),"",$M13/$K13)</f>
        <v/>
      </c>
      <c r="O13" s="27" t="str">
        <f aca="false">IF($A13="","",SUM($M$4:$M13))</f>
        <v/>
      </c>
      <c r="P13" s="25"/>
    </row>
    <row r="14" customFormat="false" ht="15" hidden="false" customHeight="false" outlineLevel="0" collapsed="false">
      <c r="A14" s="30"/>
      <c r="B14" s="16" t="str">
        <f aca="false">IF($A14="","",TEXT($A14,"YYYY-MM"))</f>
        <v/>
      </c>
      <c r="C14" s="31"/>
      <c r="D14" s="31"/>
      <c r="E14" s="31"/>
      <c r="F14" s="31"/>
      <c r="G14" s="32"/>
      <c r="H14" s="32"/>
      <c r="I14" s="32"/>
      <c r="J14" s="31"/>
      <c r="K14" s="22"/>
      <c r="L14" s="20" t="str">
        <f aca="false">IF($A14="","",$K14/(Settings!$B$4+Settings!$B$5+SUM($M$3:$M13)))</f>
        <v/>
      </c>
      <c r="M14" s="22"/>
      <c r="N14" s="21" t="str">
        <f aca="false">IF(OR($A14="",$K14=0),"",$M14/$K14)</f>
        <v/>
      </c>
      <c r="O14" s="22" t="str">
        <f aca="false">IF($A14="","",SUM($M$4:$M14))</f>
        <v/>
      </c>
      <c r="P14" s="31"/>
    </row>
    <row r="15" customFormat="false" ht="15" hidden="false" customHeight="false" outlineLevel="0" collapsed="false">
      <c r="A15" s="23"/>
      <c r="B15" s="24" t="str">
        <f aca="false">IF($A15="","",TEXT($A15,"YYYY-MM"))</f>
        <v/>
      </c>
      <c r="C15" s="25"/>
      <c r="D15" s="25"/>
      <c r="E15" s="25"/>
      <c r="F15" s="25"/>
      <c r="G15" s="26"/>
      <c r="H15" s="26"/>
      <c r="I15" s="26"/>
      <c r="J15" s="25"/>
      <c r="K15" s="27"/>
      <c r="L15" s="28" t="str">
        <f aca="false">IF($A15="","",$K15/(Settings!$B$4+Settings!$B$5+SUM($M$3:$M14)))</f>
        <v/>
      </c>
      <c r="M15" s="27"/>
      <c r="N15" s="29" t="str">
        <f aca="false">IF(OR($A15="",$K15=0),"",$M15/$K15)</f>
        <v/>
      </c>
      <c r="O15" s="27" t="str">
        <f aca="false">IF($A15="","",SUM($M$4:$M15))</f>
        <v/>
      </c>
      <c r="P15" s="25"/>
    </row>
    <row r="16" customFormat="false" ht="15" hidden="false" customHeight="false" outlineLevel="0" collapsed="false">
      <c r="A16" s="30"/>
      <c r="B16" s="16" t="str">
        <f aca="false">IF($A16="","",TEXT($A16,"YYYY-MM"))</f>
        <v/>
      </c>
      <c r="C16" s="31"/>
      <c r="D16" s="31"/>
      <c r="E16" s="31"/>
      <c r="F16" s="31"/>
      <c r="G16" s="32"/>
      <c r="H16" s="32"/>
      <c r="I16" s="32"/>
      <c r="J16" s="31"/>
      <c r="K16" s="22"/>
      <c r="L16" s="20" t="str">
        <f aca="false">IF($A16="","",$K16/(Settings!$B$4+Settings!$B$5+SUM($M$3:$M15)))</f>
        <v/>
      </c>
      <c r="M16" s="22"/>
      <c r="N16" s="21" t="str">
        <f aca="false">IF(OR($A16="",$K16=0),"",$M16/$K16)</f>
        <v/>
      </c>
      <c r="O16" s="22" t="str">
        <f aca="false">IF($A16="","",SUM($M$4:$M16))</f>
        <v/>
      </c>
      <c r="P16" s="31"/>
    </row>
    <row r="17" customFormat="false" ht="15" hidden="false" customHeight="false" outlineLevel="0" collapsed="false">
      <c r="A17" s="23"/>
      <c r="B17" s="24" t="str">
        <f aca="false">IF($A17="","",TEXT($A17,"YYYY-MM"))</f>
        <v/>
      </c>
      <c r="C17" s="25"/>
      <c r="D17" s="25"/>
      <c r="E17" s="25"/>
      <c r="F17" s="25"/>
      <c r="G17" s="26"/>
      <c r="H17" s="26"/>
      <c r="I17" s="26"/>
      <c r="J17" s="25"/>
      <c r="K17" s="27"/>
      <c r="L17" s="28" t="str">
        <f aca="false">IF($A17="","",$K17/(Settings!$B$4+Settings!$B$5+SUM($M$3:$M16)))</f>
        <v/>
      </c>
      <c r="M17" s="27"/>
      <c r="N17" s="29" t="str">
        <f aca="false">IF(OR($A17="",$K17=0),"",$M17/$K17)</f>
        <v/>
      </c>
      <c r="O17" s="27" t="str">
        <f aca="false">IF($A17="","",SUM($M$4:$M17))</f>
        <v/>
      </c>
      <c r="P17" s="25"/>
    </row>
    <row r="18" customFormat="false" ht="15" hidden="false" customHeight="false" outlineLevel="0" collapsed="false">
      <c r="A18" s="30"/>
      <c r="B18" s="16" t="str">
        <f aca="false">IF($A18="","",TEXT($A18,"YYYY-MM"))</f>
        <v/>
      </c>
      <c r="C18" s="31"/>
      <c r="D18" s="31"/>
      <c r="E18" s="31"/>
      <c r="F18" s="31"/>
      <c r="G18" s="32"/>
      <c r="H18" s="32"/>
      <c r="I18" s="32"/>
      <c r="J18" s="31"/>
      <c r="K18" s="22"/>
      <c r="L18" s="20" t="str">
        <f aca="false">IF($A18="","",$K18/(Settings!$B$4+Settings!$B$5+SUM($M$3:$M17)))</f>
        <v/>
      </c>
      <c r="M18" s="22"/>
      <c r="N18" s="21" t="str">
        <f aca="false">IF(OR($A18="",$K18=0),"",$M18/$K18)</f>
        <v/>
      </c>
      <c r="O18" s="22" t="str">
        <f aca="false">IF($A18="","",SUM($M$4:$M18))</f>
        <v/>
      </c>
      <c r="P18" s="31"/>
    </row>
    <row r="19" customFormat="false" ht="15" hidden="false" customHeight="false" outlineLevel="0" collapsed="false">
      <c r="A19" s="23"/>
      <c r="B19" s="24" t="str">
        <f aca="false">IF($A19="","",TEXT($A19,"YYYY-MM"))</f>
        <v/>
      </c>
      <c r="C19" s="25"/>
      <c r="D19" s="25"/>
      <c r="E19" s="25"/>
      <c r="F19" s="25"/>
      <c r="G19" s="26"/>
      <c r="H19" s="26"/>
      <c r="I19" s="26"/>
      <c r="J19" s="25"/>
      <c r="K19" s="27"/>
      <c r="L19" s="28" t="str">
        <f aca="false">IF($A19="","",$K19/(Settings!$B$4+Settings!$B$5+SUM($M$3:$M18)))</f>
        <v/>
      </c>
      <c r="M19" s="27"/>
      <c r="N19" s="29" t="str">
        <f aca="false">IF(OR($A19="",$K19=0),"",$M19/$K19)</f>
        <v/>
      </c>
      <c r="O19" s="27" t="str">
        <f aca="false">IF($A19="","",SUM($M$4:$M19))</f>
        <v/>
      </c>
      <c r="P19" s="25"/>
    </row>
    <row r="20" customFormat="false" ht="15" hidden="false" customHeight="false" outlineLevel="0" collapsed="false">
      <c r="A20" s="30"/>
      <c r="B20" s="16" t="str">
        <f aca="false">IF($A20="","",TEXT($A20,"YYYY-MM"))</f>
        <v/>
      </c>
      <c r="C20" s="31"/>
      <c r="D20" s="31"/>
      <c r="E20" s="31"/>
      <c r="F20" s="31"/>
      <c r="G20" s="32"/>
      <c r="H20" s="32"/>
      <c r="I20" s="32"/>
      <c r="J20" s="31"/>
      <c r="K20" s="22"/>
      <c r="L20" s="20" t="str">
        <f aca="false">IF($A20="","",$K20/(Settings!$B$4+Settings!$B$5+SUM($M$3:$M19)))</f>
        <v/>
      </c>
      <c r="M20" s="22"/>
      <c r="N20" s="21" t="str">
        <f aca="false">IF(OR($A20="",$K20=0),"",$M20/$K20)</f>
        <v/>
      </c>
      <c r="O20" s="22" t="str">
        <f aca="false">IF($A20="","",SUM($M$4:$M20))</f>
        <v/>
      </c>
      <c r="P20" s="31"/>
    </row>
    <row r="21" customFormat="false" ht="15" hidden="false" customHeight="false" outlineLevel="0" collapsed="false">
      <c r="A21" s="23"/>
      <c r="B21" s="24" t="str">
        <f aca="false">IF($A21="","",TEXT($A21,"YYYY-MM"))</f>
        <v/>
      </c>
      <c r="C21" s="25"/>
      <c r="D21" s="25"/>
      <c r="E21" s="25"/>
      <c r="F21" s="25"/>
      <c r="G21" s="26"/>
      <c r="H21" s="26"/>
      <c r="I21" s="26"/>
      <c r="J21" s="25"/>
      <c r="K21" s="27"/>
      <c r="L21" s="28" t="str">
        <f aca="false">IF($A21="","",$K21/(Settings!$B$4+Settings!$B$5+SUM($M$3:$M20)))</f>
        <v/>
      </c>
      <c r="M21" s="27"/>
      <c r="N21" s="29" t="str">
        <f aca="false">IF(OR($A21="",$K21=0),"",$M21/$K21)</f>
        <v/>
      </c>
      <c r="O21" s="27" t="str">
        <f aca="false">IF($A21="","",SUM($M$4:$M21))</f>
        <v/>
      </c>
      <c r="P21" s="25"/>
    </row>
    <row r="22" customFormat="false" ht="15" hidden="false" customHeight="false" outlineLevel="0" collapsed="false">
      <c r="A22" s="30"/>
      <c r="B22" s="16" t="str">
        <f aca="false">IF($A22="","",TEXT($A22,"YYYY-MM"))</f>
        <v/>
      </c>
      <c r="C22" s="31"/>
      <c r="D22" s="31"/>
      <c r="E22" s="31"/>
      <c r="F22" s="31"/>
      <c r="G22" s="32"/>
      <c r="H22" s="32"/>
      <c r="I22" s="32"/>
      <c r="J22" s="31"/>
      <c r="K22" s="22"/>
      <c r="L22" s="20" t="str">
        <f aca="false">IF($A22="","",$K22/(Settings!$B$4+Settings!$B$5+SUM($M$3:$M21)))</f>
        <v/>
      </c>
      <c r="M22" s="22"/>
      <c r="N22" s="21" t="str">
        <f aca="false">IF(OR($A22="",$K22=0),"",$M22/$K22)</f>
        <v/>
      </c>
      <c r="O22" s="22" t="str">
        <f aca="false">IF($A22="","",SUM($M$4:$M22))</f>
        <v/>
      </c>
      <c r="P22" s="31"/>
    </row>
    <row r="23" customFormat="false" ht="15" hidden="false" customHeight="false" outlineLevel="0" collapsed="false">
      <c r="A23" s="23"/>
      <c r="B23" s="24" t="str">
        <f aca="false">IF($A23="","",TEXT($A23,"YYYY-MM"))</f>
        <v/>
      </c>
      <c r="C23" s="25"/>
      <c r="D23" s="25"/>
      <c r="E23" s="25"/>
      <c r="F23" s="25"/>
      <c r="G23" s="26"/>
      <c r="H23" s="26"/>
      <c r="I23" s="26"/>
      <c r="J23" s="25"/>
      <c r="K23" s="27"/>
      <c r="L23" s="28" t="str">
        <f aca="false">IF($A23="","",$K23/(Settings!$B$4+Settings!$B$5+SUM($M$3:$M22)))</f>
        <v/>
      </c>
      <c r="M23" s="27"/>
      <c r="N23" s="29" t="str">
        <f aca="false">IF(OR($A23="",$K23=0),"",$M23/$K23)</f>
        <v/>
      </c>
      <c r="O23" s="27" t="str">
        <f aca="false">IF($A23="","",SUM($M$4:$M23))</f>
        <v/>
      </c>
      <c r="P23" s="25"/>
    </row>
    <row r="24" customFormat="false" ht="15" hidden="false" customHeight="false" outlineLevel="0" collapsed="false">
      <c r="A24" s="30"/>
      <c r="B24" s="16" t="str">
        <f aca="false">IF($A24="","",TEXT($A24,"YYYY-MM"))</f>
        <v/>
      </c>
      <c r="C24" s="31"/>
      <c r="D24" s="31"/>
      <c r="E24" s="31"/>
      <c r="F24" s="31"/>
      <c r="G24" s="32"/>
      <c r="H24" s="32"/>
      <c r="I24" s="32"/>
      <c r="J24" s="31"/>
      <c r="K24" s="22"/>
      <c r="L24" s="20" t="str">
        <f aca="false">IF($A24="","",$K24/(Settings!$B$4+Settings!$B$5+SUM($M$3:$M23)))</f>
        <v/>
      </c>
      <c r="M24" s="22"/>
      <c r="N24" s="21" t="str">
        <f aca="false">IF(OR($A24="",$K24=0),"",$M24/$K24)</f>
        <v/>
      </c>
      <c r="O24" s="22" t="str">
        <f aca="false">IF($A24="","",SUM($M$4:$M24))</f>
        <v/>
      </c>
      <c r="P24" s="31"/>
    </row>
    <row r="25" customFormat="false" ht="15" hidden="false" customHeight="false" outlineLevel="0" collapsed="false">
      <c r="A25" s="23"/>
      <c r="B25" s="24" t="str">
        <f aca="false">IF($A25="","",TEXT($A25,"YYYY-MM"))</f>
        <v/>
      </c>
      <c r="C25" s="25"/>
      <c r="D25" s="25"/>
      <c r="E25" s="25"/>
      <c r="F25" s="25"/>
      <c r="G25" s="26"/>
      <c r="H25" s="26"/>
      <c r="I25" s="26"/>
      <c r="J25" s="25"/>
      <c r="K25" s="27"/>
      <c r="L25" s="28" t="str">
        <f aca="false">IF($A25="","",$K25/(Settings!$B$4+Settings!$B$5+SUM($M$3:$M24)))</f>
        <v/>
      </c>
      <c r="M25" s="27"/>
      <c r="N25" s="29" t="str">
        <f aca="false">IF(OR($A25="",$K25=0),"",$M25/$K25)</f>
        <v/>
      </c>
      <c r="O25" s="27" t="str">
        <f aca="false">IF($A25="","",SUM($M$4:$M25))</f>
        <v/>
      </c>
      <c r="P25" s="25"/>
    </row>
    <row r="26" customFormat="false" ht="15" hidden="false" customHeight="false" outlineLevel="0" collapsed="false">
      <c r="A26" s="30"/>
      <c r="B26" s="16" t="str">
        <f aca="false">IF($A26="","",TEXT($A26,"YYYY-MM"))</f>
        <v/>
      </c>
      <c r="C26" s="31"/>
      <c r="D26" s="31"/>
      <c r="E26" s="31"/>
      <c r="F26" s="31"/>
      <c r="G26" s="32"/>
      <c r="H26" s="32"/>
      <c r="I26" s="32"/>
      <c r="J26" s="31"/>
      <c r="K26" s="22"/>
      <c r="L26" s="20" t="str">
        <f aca="false">IF($A26="","",$K26/(Settings!$B$4+Settings!$B$5+SUM($M$3:$M25)))</f>
        <v/>
      </c>
      <c r="M26" s="22"/>
      <c r="N26" s="21" t="str">
        <f aca="false">IF(OR($A26="",$K26=0),"",$M26/$K26)</f>
        <v/>
      </c>
      <c r="O26" s="22" t="str">
        <f aca="false">IF($A26="","",SUM($M$4:$M26))</f>
        <v/>
      </c>
      <c r="P26" s="31"/>
    </row>
    <row r="27" customFormat="false" ht="15" hidden="false" customHeight="false" outlineLevel="0" collapsed="false">
      <c r="A27" s="23"/>
      <c r="B27" s="24" t="str">
        <f aca="false">IF($A27="","",TEXT($A27,"YYYY-MM"))</f>
        <v/>
      </c>
      <c r="C27" s="25"/>
      <c r="D27" s="25"/>
      <c r="E27" s="25"/>
      <c r="F27" s="25"/>
      <c r="G27" s="26"/>
      <c r="H27" s="26"/>
      <c r="I27" s="26"/>
      <c r="J27" s="25"/>
      <c r="K27" s="27"/>
      <c r="L27" s="28" t="str">
        <f aca="false">IF($A27="","",$K27/(Settings!$B$4+Settings!$B$5+SUM($M$3:$M26)))</f>
        <v/>
      </c>
      <c r="M27" s="27"/>
      <c r="N27" s="29" t="str">
        <f aca="false">IF(OR($A27="",$K27=0),"",$M27/$K27)</f>
        <v/>
      </c>
      <c r="O27" s="27" t="str">
        <f aca="false">IF($A27="","",SUM($M$4:$M27))</f>
        <v/>
      </c>
      <c r="P27" s="25"/>
    </row>
    <row r="28" customFormat="false" ht="15" hidden="false" customHeight="false" outlineLevel="0" collapsed="false">
      <c r="A28" s="30"/>
      <c r="B28" s="16" t="str">
        <f aca="false">IF($A28="","",TEXT($A28,"YYYY-MM"))</f>
        <v/>
      </c>
      <c r="C28" s="31"/>
      <c r="D28" s="31"/>
      <c r="E28" s="31"/>
      <c r="F28" s="31"/>
      <c r="G28" s="32"/>
      <c r="H28" s="32"/>
      <c r="I28" s="32"/>
      <c r="J28" s="31"/>
      <c r="K28" s="22"/>
      <c r="L28" s="20" t="str">
        <f aca="false">IF($A28="","",$K28/(Settings!$B$4+Settings!$B$5+SUM($M$3:$M27)))</f>
        <v/>
      </c>
      <c r="M28" s="22"/>
      <c r="N28" s="21" t="str">
        <f aca="false">IF(OR($A28="",$K28=0),"",$M28/$K28)</f>
        <v/>
      </c>
      <c r="O28" s="22" t="str">
        <f aca="false">IF($A28="","",SUM($M$4:$M28))</f>
        <v/>
      </c>
      <c r="P28" s="31"/>
    </row>
    <row r="29" customFormat="false" ht="15" hidden="false" customHeight="false" outlineLevel="0" collapsed="false">
      <c r="A29" s="23"/>
      <c r="B29" s="24" t="str">
        <f aca="false">IF($A29="","",TEXT($A29,"YYYY-MM"))</f>
        <v/>
      </c>
      <c r="C29" s="25"/>
      <c r="D29" s="25"/>
      <c r="E29" s="25"/>
      <c r="F29" s="25"/>
      <c r="G29" s="26"/>
      <c r="H29" s="26"/>
      <c r="I29" s="26"/>
      <c r="J29" s="25"/>
      <c r="K29" s="27"/>
      <c r="L29" s="28" t="str">
        <f aca="false">IF($A29="","",$K29/(Settings!$B$4+Settings!$B$5+SUM($M$3:$M28)))</f>
        <v/>
      </c>
      <c r="M29" s="27"/>
      <c r="N29" s="29" t="str">
        <f aca="false">IF(OR($A29="",$K29=0),"",$M29/$K29)</f>
        <v/>
      </c>
      <c r="O29" s="27" t="str">
        <f aca="false">IF($A29="","",SUM($M$4:$M29))</f>
        <v/>
      </c>
      <c r="P29" s="25"/>
    </row>
    <row r="30" customFormat="false" ht="15" hidden="false" customHeight="false" outlineLevel="0" collapsed="false">
      <c r="A30" s="30"/>
      <c r="B30" s="16" t="str">
        <f aca="false">IF($A30="","",TEXT($A30,"YYYY-MM"))</f>
        <v/>
      </c>
      <c r="C30" s="31"/>
      <c r="D30" s="31"/>
      <c r="E30" s="31"/>
      <c r="F30" s="31"/>
      <c r="G30" s="32"/>
      <c r="H30" s="32"/>
      <c r="I30" s="32"/>
      <c r="J30" s="31"/>
      <c r="K30" s="22"/>
      <c r="L30" s="20" t="str">
        <f aca="false">IF($A30="","",$K30/(Settings!$B$4+Settings!$B$5+SUM($M$3:$M29)))</f>
        <v/>
      </c>
      <c r="M30" s="22"/>
      <c r="N30" s="21" t="str">
        <f aca="false">IF(OR($A30="",$K30=0),"",$M30/$K30)</f>
        <v/>
      </c>
      <c r="O30" s="22" t="str">
        <f aca="false">IF($A30="","",SUM($M$4:$M30))</f>
        <v/>
      </c>
      <c r="P30" s="31"/>
    </row>
    <row r="31" customFormat="false" ht="15" hidden="false" customHeight="false" outlineLevel="0" collapsed="false">
      <c r="A31" s="23"/>
      <c r="B31" s="24" t="str">
        <f aca="false">IF($A31="","",TEXT($A31,"YYYY-MM"))</f>
        <v/>
      </c>
      <c r="C31" s="25"/>
      <c r="D31" s="25"/>
      <c r="E31" s="25"/>
      <c r="F31" s="25"/>
      <c r="G31" s="26"/>
      <c r="H31" s="26"/>
      <c r="I31" s="26"/>
      <c r="J31" s="25"/>
      <c r="K31" s="27"/>
      <c r="L31" s="28" t="str">
        <f aca="false">IF($A31="","",$K31/(Settings!$B$4+Settings!$B$5+SUM($M$3:$M30)))</f>
        <v/>
      </c>
      <c r="M31" s="27"/>
      <c r="N31" s="29" t="str">
        <f aca="false">IF(OR($A31="",$K31=0),"",$M31/$K31)</f>
        <v/>
      </c>
      <c r="O31" s="27" t="str">
        <f aca="false">IF($A31="","",SUM($M$4:$M31))</f>
        <v/>
      </c>
      <c r="P31" s="25"/>
    </row>
    <row r="32" customFormat="false" ht="15" hidden="false" customHeight="false" outlineLevel="0" collapsed="false">
      <c r="A32" s="30"/>
      <c r="B32" s="16" t="str">
        <f aca="false">IF($A32="","",TEXT($A32,"YYYY-MM"))</f>
        <v/>
      </c>
      <c r="C32" s="31"/>
      <c r="D32" s="31"/>
      <c r="E32" s="31"/>
      <c r="F32" s="31"/>
      <c r="G32" s="32"/>
      <c r="H32" s="32"/>
      <c r="I32" s="32"/>
      <c r="J32" s="31"/>
      <c r="K32" s="22"/>
      <c r="L32" s="20" t="str">
        <f aca="false">IF($A32="","",$K32/(Settings!$B$4+Settings!$B$5+SUM($M$3:$M31)))</f>
        <v/>
      </c>
      <c r="M32" s="22"/>
      <c r="N32" s="21" t="str">
        <f aca="false">IF(OR($A32="",$K32=0),"",$M32/$K32)</f>
        <v/>
      </c>
      <c r="O32" s="22" t="str">
        <f aca="false">IF($A32="","",SUM($M$4:$M32))</f>
        <v/>
      </c>
      <c r="P32" s="31"/>
    </row>
    <row r="33" customFormat="false" ht="15" hidden="false" customHeight="false" outlineLevel="0" collapsed="false">
      <c r="A33" s="23"/>
      <c r="B33" s="24" t="str">
        <f aca="false">IF($A33="","",TEXT($A33,"YYYY-MM"))</f>
        <v/>
      </c>
      <c r="C33" s="25"/>
      <c r="D33" s="25"/>
      <c r="E33" s="25"/>
      <c r="F33" s="25"/>
      <c r="G33" s="26"/>
      <c r="H33" s="26"/>
      <c r="I33" s="26"/>
      <c r="J33" s="25"/>
      <c r="K33" s="27"/>
      <c r="L33" s="28" t="str">
        <f aca="false">IF($A33="","",$K33/(Settings!$B$4+Settings!$B$5+SUM($M$3:$M32)))</f>
        <v/>
      </c>
      <c r="M33" s="27"/>
      <c r="N33" s="29" t="str">
        <f aca="false">IF(OR($A33="",$K33=0),"",$M33/$K33)</f>
        <v/>
      </c>
      <c r="O33" s="27" t="str">
        <f aca="false">IF($A33="","",SUM($M$4:$M33))</f>
        <v/>
      </c>
      <c r="P33" s="25"/>
    </row>
    <row r="34" customFormat="false" ht="15" hidden="false" customHeight="false" outlineLevel="0" collapsed="false">
      <c r="A34" s="30"/>
      <c r="B34" s="16" t="str">
        <f aca="false">IF($A34="","",TEXT($A34,"YYYY-MM"))</f>
        <v/>
      </c>
      <c r="C34" s="31"/>
      <c r="D34" s="31"/>
      <c r="E34" s="31"/>
      <c r="F34" s="31"/>
      <c r="G34" s="32"/>
      <c r="H34" s="32"/>
      <c r="I34" s="32"/>
      <c r="J34" s="31"/>
      <c r="K34" s="22"/>
      <c r="L34" s="20" t="str">
        <f aca="false">IF($A34="","",$K34/(Settings!$B$4+Settings!$B$5+SUM($M$3:$M33)))</f>
        <v/>
      </c>
      <c r="M34" s="22"/>
      <c r="N34" s="21" t="str">
        <f aca="false">IF(OR($A34="",$K34=0),"",$M34/$K34)</f>
        <v/>
      </c>
      <c r="O34" s="22" t="str">
        <f aca="false">IF($A34="","",SUM($M$4:$M34))</f>
        <v/>
      </c>
      <c r="P34" s="31"/>
    </row>
    <row r="35" customFormat="false" ht="15" hidden="false" customHeight="false" outlineLevel="0" collapsed="false">
      <c r="A35" s="23"/>
      <c r="B35" s="24" t="str">
        <f aca="false">IF($A35="","",TEXT($A35,"YYYY-MM"))</f>
        <v/>
      </c>
      <c r="C35" s="25"/>
      <c r="D35" s="25"/>
      <c r="E35" s="25"/>
      <c r="F35" s="25"/>
      <c r="G35" s="26"/>
      <c r="H35" s="26"/>
      <c r="I35" s="26"/>
      <c r="J35" s="25"/>
      <c r="K35" s="27"/>
      <c r="L35" s="28" t="str">
        <f aca="false">IF($A35="","",$K35/(Settings!$B$4+Settings!$B$5+SUM($M$3:$M34)))</f>
        <v/>
      </c>
      <c r="M35" s="27"/>
      <c r="N35" s="29" t="str">
        <f aca="false">IF(OR($A35="",$K35=0),"",$M35/$K35)</f>
        <v/>
      </c>
      <c r="O35" s="27" t="str">
        <f aca="false">IF($A35="","",SUM($M$4:$M35))</f>
        <v/>
      </c>
      <c r="P35" s="25"/>
    </row>
    <row r="36" customFormat="false" ht="15" hidden="false" customHeight="false" outlineLevel="0" collapsed="false">
      <c r="A36" s="30"/>
      <c r="B36" s="16" t="str">
        <f aca="false">IF($A36="","",TEXT($A36,"YYYY-MM"))</f>
        <v/>
      </c>
      <c r="C36" s="31"/>
      <c r="D36" s="31"/>
      <c r="E36" s="31"/>
      <c r="F36" s="31"/>
      <c r="G36" s="32"/>
      <c r="H36" s="32"/>
      <c r="I36" s="32"/>
      <c r="J36" s="31"/>
      <c r="K36" s="22"/>
      <c r="L36" s="20" t="str">
        <f aca="false">IF($A36="","",$K36/(Settings!$B$4+Settings!$B$5+SUM($M$3:$M35)))</f>
        <v/>
      </c>
      <c r="M36" s="22"/>
      <c r="N36" s="21" t="str">
        <f aca="false">IF(OR($A36="",$K36=0),"",$M36/$K36)</f>
        <v/>
      </c>
      <c r="O36" s="22" t="str">
        <f aca="false">IF($A36="","",SUM($M$4:$M36))</f>
        <v/>
      </c>
      <c r="P36" s="31"/>
    </row>
    <row r="37" customFormat="false" ht="15" hidden="false" customHeight="false" outlineLevel="0" collapsed="false">
      <c r="A37" s="23"/>
      <c r="B37" s="24" t="str">
        <f aca="false">IF($A37="","",TEXT($A37,"YYYY-MM"))</f>
        <v/>
      </c>
      <c r="C37" s="25"/>
      <c r="D37" s="25"/>
      <c r="E37" s="25"/>
      <c r="F37" s="25"/>
      <c r="G37" s="26"/>
      <c r="H37" s="26"/>
      <c r="I37" s="26"/>
      <c r="J37" s="25"/>
      <c r="K37" s="27"/>
      <c r="L37" s="28" t="str">
        <f aca="false">IF($A37="","",$K37/(Settings!$B$4+Settings!$B$5+SUM($M$3:$M36)))</f>
        <v/>
      </c>
      <c r="M37" s="27"/>
      <c r="N37" s="29" t="str">
        <f aca="false">IF(OR($A37="",$K37=0),"",$M37/$K37)</f>
        <v/>
      </c>
      <c r="O37" s="27" t="str">
        <f aca="false">IF($A37="","",SUM($M$4:$M37))</f>
        <v/>
      </c>
      <c r="P37" s="25"/>
    </row>
    <row r="38" customFormat="false" ht="15" hidden="false" customHeight="false" outlineLevel="0" collapsed="false">
      <c r="A38" s="30"/>
      <c r="B38" s="16" t="str">
        <f aca="false">IF($A38="","",TEXT($A38,"YYYY-MM"))</f>
        <v/>
      </c>
      <c r="C38" s="31"/>
      <c r="D38" s="31"/>
      <c r="E38" s="31"/>
      <c r="F38" s="31"/>
      <c r="G38" s="32"/>
      <c r="H38" s="32"/>
      <c r="I38" s="32"/>
      <c r="J38" s="31"/>
      <c r="K38" s="22"/>
      <c r="L38" s="20" t="str">
        <f aca="false">IF($A38="","",$K38/(Settings!$B$4+Settings!$B$5+SUM($M$3:$M37)))</f>
        <v/>
      </c>
      <c r="M38" s="22"/>
      <c r="N38" s="21" t="str">
        <f aca="false">IF(OR($A38="",$K38=0),"",$M38/$K38)</f>
        <v/>
      </c>
      <c r="O38" s="22" t="str">
        <f aca="false">IF($A38="","",SUM($M$4:$M38))</f>
        <v/>
      </c>
      <c r="P38" s="31"/>
    </row>
    <row r="39" customFormat="false" ht="15" hidden="false" customHeight="false" outlineLevel="0" collapsed="false">
      <c r="A39" s="23"/>
      <c r="B39" s="24" t="str">
        <f aca="false">IF($A39="","",TEXT($A39,"YYYY-MM"))</f>
        <v/>
      </c>
      <c r="C39" s="25"/>
      <c r="D39" s="25"/>
      <c r="E39" s="25"/>
      <c r="F39" s="25"/>
      <c r="G39" s="26"/>
      <c r="H39" s="26"/>
      <c r="I39" s="26"/>
      <c r="J39" s="25"/>
      <c r="K39" s="27"/>
      <c r="L39" s="28" t="str">
        <f aca="false">IF($A39="","",$K39/(Settings!$B$4+Settings!$B$5+SUM($M$3:$M38)))</f>
        <v/>
      </c>
      <c r="M39" s="27"/>
      <c r="N39" s="29" t="str">
        <f aca="false">IF(OR($A39="",$K39=0),"",$M39/$K39)</f>
        <v/>
      </c>
      <c r="O39" s="27" t="str">
        <f aca="false">IF($A39="","",SUM($M$4:$M39))</f>
        <v/>
      </c>
      <c r="P39" s="25"/>
    </row>
    <row r="40" customFormat="false" ht="15" hidden="false" customHeight="false" outlineLevel="0" collapsed="false">
      <c r="A40" s="30"/>
      <c r="B40" s="16" t="str">
        <f aca="false">IF($A40="","",TEXT($A40,"YYYY-MM"))</f>
        <v/>
      </c>
      <c r="C40" s="31"/>
      <c r="D40" s="31"/>
      <c r="E40" s="31"/>
      <c r="F40" s="31"/>
      <c r="G40" s="32"/>
      <c r="H40" s="32"/>
      <c r="I40" s="32"/>
      <c r="J40" s="31"/>
      <c r="K40" s="22"/>
      <c r="L40" s="20" t="str">
        <f aca="false">IF($A40="","",$K40/(Settings!$B$4+Settings!$B$5+SUM($M$3:$M39)))</f>
        <v/>
      </c>
      <c r="M40" s="22"/>
      <c r="N40" s="21" t="str">
        <f aca="false">IF(OR($A40="",$K40=0),"",$M40/$K40)</f>
        <v/>
      </c>
      <c r="O40" s="22" t="str">
        <f aca="false">IF($A40="","",SUM($M$4:$M40))</f>
        <v/>
      </c>
      <c r="P40" s="31"/>
    </row>
    <row r="41" customFormat="false" ht="15" hidden="false" customHeight="false" outlineLevel="0" collapsed="false">
      <c r="A41" s="23"/>
      <c r="B41" s="24" t="str">
        <f aca="false">IF($A41="","",TEXT($A41,"YYYY-MM"))</f>
        <v/>
      </c>
      <c r="C41" s="25"/>
      <c r="D41" s="25"/>
      <c r="E41" s="25"/>
      <c r="F41" s="25"/>
      <c r="G41" s="26"/>
      <c r="H41" s="26"/>
      <c r="I41" s="26"/>
      <c r="J41" s="25"/>
      <c r="K41" s="27"/>
      <c r="L41" s="28" t="str">
        <f aca="false">IF($A41="","",$K41/(Settings!$B$4+Settings!$B$5+SUM($M$3:$M40)))</f>
        <v/>
      </c>
      <c r="M41" s="27"/>
      <c r="N41" s="29" t="str">
        <f aca="false">IF(OR($A41="",$K41=0),"",$M41/$K41)</f>
        <v/>
      </c>
      <c r="O41" s="27" t="str">
        <f aca="false">IF($A41="","",SUM($M$4:$M41))</f>
        <v/>
      </c>
      <c r="P41" s="25"/>
    </row>
    <row r="42" customFormat="false" ht="15" hidden="false" customHeight="false" outlineLevel="0" collapsed="false">
      <c r="A42" s="30"/>
      <c r="B42" s="16" t="str">
        <f aca="false">IF($A42="","",TEXT($A42,"YYYY-MM"))</f>
        <v/>
      </c>
      <c r="C42" s="31"/>
      <c r="D42" s="31"/>
      <c r="E42" s="31"/>
      <c r="F42" s="31"/>
      <c r="G42" s="32"/>
      <c r="H42" s="32"/>
      <c r="I42" s="32"/>
      <c r="J42" s="31"/>
      <c r="K42" s="22"/>
      <c r="L42" s="20" t="str">
        <f aca="false">IF($A42="","",$K42/(Settings!$B$4+Settings!$B$5+SUM($M$3:$M41)))</f>
        <v/>
      </c>
      <c r="M42" s="22"/>
      <c r="N42" s="21" t="str">
        <f aca="false">IF(OR($A42="",$K42=0),"",$M42/$K42)</f>
        <v/>
      </c>
      <c r="O42" s="22" t="str">
        <f aca="false">IF($A42="","",SUM($M$4:$M42))</f>
        <v/>
      </c>
      <c r="P42" s="31"/>
    </row>
    <row r="43" customFormat="false" ht="15" hidden="false" customHeight="false" outlineLevel="0" collapsed="false">
      <c r="A43" s="23"/>
      <c r="B43" s="24" t="str">
        <f aca="false">IF($A43="","",TEXT($A43,"YYYY-MM"))</f>
        <v/>
      </c>
      <c r="C43" s="25"/>
      <c r="D43" s="25"/>
      <c r="E43" s="25"/>
      <c r="F43" s="25"/>
      <c r="G43" s="26"/>
      <c r="H43" s="26"/>
      <c r="I43" s="26"/>
      <c r="J43" s="25"/>
      <c r="K43" s="27"/>
      <c r="L43" s="28" t="str">
        <f aca="false">IF($A43="","",$K43/(Settings!$B$4+Settings!$B$5+SUM($M$3:$M42)))</f>
        <v/>
      </c>
      <c r="M43" s="27"/>
      <c r="N43" s="29" t="str">
        <f aca="false">IF(OR($A43="",$K43=0),"",$M43/$K43)</f>
        <v/>
      </c>
      <c r="O43" s="27" t="str">
        <f aca="false">IF($A43="","",SUM($M$4:$M43))</f>
        <v/>
      </c>
      <c r="P43" s="25"/>
    </row>
    <row r="44" customFormat="false" ht="15" hidden="false" customHeight="false" outlineLevel="0" collapsed="false">
      <c r="A44" s="30"/>
      <c r="B44" s="16" t="str">
        <f aca="false">IF($A44="","",TEXT($A44,"YYYY-MM"))</f>
        <v/>
      </c>
      <c r="C44" s="31"/>
      <c r="D44" s="31"/>
      <c r="E44" s="31"/>
      <c r="F44" s="31"/>
      <c r="G44" s="32"/>
      <c r="H44" s="32"/>
      <c r="I44" s="32"/>
      <c r="J44" s="31"/>
      <c r="K44" s="22"/>
      <c r="L44" s="20" t="str">
        <f aca="false">IF($A44="","",$K44/(Settings!$B$4+Settings!$B$5+SUM($M$3:$M43)))</f>
        <v/>
      </c>
      <c r="M44" s="22"/>
      <c r="N44" s="21" t="str">
        <f aca="false">IF(OR($A44="",$K44=0),"",$M44/$K44)</f>
        <v/>
      </c>
      <c r="O44" s="22" t="str">
        <f aca="false">IF($A44="","",SUM($M$4:$M44))</f>
        <v/>
      </c>
      <c r="P44" s="31"/>
    </row>
    <row r="45" customFormat="false" ht="15" hidden="false" customHeight="false" outlineLevel="0" collapsed="false">
      <c r="A45" s="23"/>
      <c r="B45" s="24" t="str">
        <f aca="false">IF($A45="","",TEXT($A45,"YYYY-MM"))</f>
        <v/>
      </c>
      <c r="C45" s="25"/>
      <c r="D45" s="25"/>
      <c r="E45" s="25"/>
      <c r="F45" s="25"/>
      <c r="G45" s="26"/>
      <c r="H45" s="26"/>
      <c r="I45" s="26"/>
      <c r="J45" s="25"/>
      <c r="K45" s="27"/>
      <c r="L45" s="28" t="str">
        <f aca="false">IF($A45="","",$K45/(Settings!$B$4+Settings!$B$5+SUM($M$3:$M44)))</f>
        <v/>
      </c>
      <c r="M45" s="27"/>
      <c r="N45" s="29" t="str">
        <f aca="false">IF(OR($A45="",$K45=0),"",$M45/$K45)</f>
        <v/>
      </c>
      <c r="O45" s="27" t="str">
        <f aca="false">IF($A45="","",SUM($M$4:$M45))</f>
        <v/>
      </c>
      <c r="P45" s="25"/>
    </row>
    <row r="46" customFormat="false" ht="15" hidden="false" customHeight="false" outlineLevel="0" collapsed="false">
      <c r="A46" s="30"/>
      <c r="B46" s="16" t="str">
        <f aca="false">IF($A46="","",TEXT($A46,"YYYY-MM"))</f>
        <v/>
      </c>
      <c r="C46" s="31"/>
      <c r="D46" s="31"/>
      <c r="E46" s="31"/>
      <c r="F46" s="31"/>
      <c r="G46" s="32"/>
      <c r="H46" s="32"/>
      <c r="I46" s="32"/>
      <c r="J46" s="31"/>
      <c r="K46" s="22"/>
      <c r="L46" s="20" t="str">
        <f aca="false">IF($A46="","",$K46/(Settings!$B$4+Settings!$B$5+SUM($M$3:$M45)))</f>
        <v/>
      </c>
      <c r="M46" s="22"/>
      <c r="N46" s="21" t="str">
        <f aca="false">IF(OR($A46="",$K46=0),"",$M46/$K46)</f>
        <v/>
      </c>
      <c r="O46" s="22" t="str">
        <f aca="false">IF($A46="","",SUM($M$4:$M46))</f>
        <v/>
      </c>
      <c r="P46" s="31"/>
    </row>
    <row r="47" customFormat="false" ht="15" hidden="false" customHeight="false" outlineLevel="0" collapsed="false">
      <c r="A47" s="23"/>
      <c r="B47" s="24" t="str">
        <f aca="false">IF($A47="","",TEXT($A47,"YYYY-MM"))</f>
        <v/>
      </c>
      <c r="C47" s="25"/>
      <c r="D47" s="25"/>
      <c r="E47" s="25"/>
      <c r="F47" s="25"/>
      <c r="G47" s="26"/>
      <c r="H47" s="26"/>
      <c r="I47" s="26"/>
      <c r="J47" s="25"/>
      <c r="K47" s="27"/>
      <c r="L47" s="28" t="str">
        <f aca="false">IF($A47="","",$K47/(Settings!$B$4+Settings!$B$5+SUM($M$3:$M46)))</f>
        <v/>
      </c>
      <c r="M47" s="27"/>
      <c r="N47" s="29" t="str">
        <f aca="false">IF(OR($A47="",$K47=0),"",$M47/$K47)</f>
        <v/>
      </c>
      <c r="O47" s="27" t="str">
        <f aca="false">IF($A47="","",SUM($M$4:$M47))</f>
        <v/>
      </c>
      <c r="P47" s="25"/>
    </row>
    <row r="48" customFormat="false" ht="15" hidden="false" customHeight="false" outlineLevel="0" collapsed="false">
      <c r="A48" s="30"/>
      <c r="B48" s="16" t="str">
        <f aca="false">IF($A48="","",TEXT($A48,"YYYY-MM"))</f>
        <v/>
      </c>
      <c r="C48" s="31"/>
      <c r="D48" s="31"/>
      <c r="E48" s="31"/>
      <c r="F48" s="31"/>
      <c r="G48" s="32"/>
      <c r="H48" s="32"/>
      <c r="I48" s="32"/>
      <c r="J48" s="31"/>
      <c r="K48" s="22"/>
      <c r="L48" s="20" t="str">
        <f aca="false">IF($A48="","",$K48/(Settings!$B$4+Settings!$B$5+SUM($M$3:$M47)))</f>
        <v/>
      </c>
      <c r="M48" s="22"/>
      <c r="N48" s="21" t="str">
        <f aca="false">IF(OR($A48="",$K48=0),"",$M48/$K48)</f>
        <v/>
      </c>
      <c r="O48" s="22" t="str">
        <f aca="false">IF($A48="","",SUM($M$4:$M48))</f>
        <v/>
      </c>
      <c r="P48" s="31"/>
    </row>
    <row r="49" customFormat="false" ht="15" hidden="false" customHeight="false" outlineLevel="0" collapsed="false">
      <c r="A49" s="23"/>
      <c r="B49" s="24" t="str">
        <f aca="false">IF($A49="","",TEXT($A49,"YYYY-MM"))</f>
        <v/>
      </c>
      <c r="C49" s="25"/>
      <c r="D49" s="25"/>
      <c r="E49" s="25"/>
      <c r="F49" s="25"/>
      <c r="G49" s="26"/>
      <c r="H49" s="26"/>
      <c r="I49" s="26"/>
      <c r="J49" s="25"/>
      <c r="K49" s="27"/>
      <c r="L49" s="28" t="str">
        <f aca="false">IF($A49="","",$K49/(Settings!$B$4+Settings!$B$5+SUM($M$3:$M48)))</f>
        <v/>
      </c>
      <c r="M49" s="27"/>
      <c r="N49" s="29" t="str">
        <f aca="false">IF(OR($A49="",$K49=0),"",$M49/$K49)</f>
        <v/>
      </c>
      <c r="O49" s="27" t="str">
        <f aca="false">IF($A49="","",SUM($M$4:$M49))</f>
        <v/>
      </c>
      <c r="P49" s="25"/>
    </row>
    <row r="50" customFormat="false" ht="15" hidden="false" customHeight="false" outlineLevel="0" collapsed="false">
      <c r="A50" s="30"/>
      <c r="B50" s="16" t="str">
        <f aca="false">IF($A50="","",TEXT($A50,"YYYY-MM"))</f>
        <v/>
      </c>
      <c r="C50" s="31"/>
      <c r="D50" s="31"/>
      <c r="E50" s="31"/>
      <c r="F50" s="31"/>
      <c r="G50" s="32"/>
      <c r="H50" s="32"/>
      <c r="I50" s="32"/>
      <c r="J50" s="31"/>
      <c r="K50" s="22"/>
      <c r="L50" s="20" t="str">
        <f aca="false">IF($A50="","",$K50/(Settings!$B$4+Settings!$B$5+SUM($M$3:$M49)))</f>
        <v/>
      </c>
      <c r="M50" s="22"/>
      <c r="N50" s="21" t="str">
        <f aca="false">IF(OR($A50="",$K50=0),"",$M50/$K50)</f>
        <v/>
      </c>
      <c r="O50" s="22" t="str">
        <f aca="false">IF($A50="","",SUM($M$4:$M50))</f>
        <v/>
      </c>
      <c r="P50" s="31"/>
    </row>
    <row r="51" customFormat="false" ht="15" hidden="false" customHeight="false" outlineLevel="0" collapsed="false">
      <c r="A51" s="23"/>
      <c r="B51" s="24" t="str">
        <f aca="false">IF($A51="","",TEXT($A51,"YYYY-MM"))</f>
        <v/>
      </c>
      <c r="C51" s="25"/>
      <c r="D51" s="25"/>
      <c r="E51" s="25"/>
      <c r="F51" s="25"/>
      <c r="G51" s="26"/>
      <c r="H51" s="26"/>
      <c r="I51" s="26"/>
      <c r="J51" s="25"/>
      <c r="K51" s="27"/>
      <c r="L51" s="28" t="str">
        <f aca="false">IF($A51="","",$K51/(Settings!$B$4+Settings!$B$5+SUM($M$3:$M50)))</f>
        <v/>
      </c>
      <c r="M51" s="27"/>
      <c r="N51" s="29" t="str">
        <f aca="false">IF(OR($A51="",$K51=0),"",$M51/$K51)</f>
        <v/>
      </c>
      <c r="O51" s="27" t="str">
        <f aca="false">IF($A51="","",SUM($M$4:$M51))</f>
        <v/>
      </c>
      <c r="P51" s="25"/>
    </row>
    <row r="52" customFormat="false" ht="15" hidden="false" customHeight="false" outlineLevel="0" collapsed="false">
      <c r="A52" s="30"/>
      <c r="B52" s="16" t="str">
        <f aca="false">IF($A52="","",TEXT($A52,"YYYY-MM"))</f>
        <v/>
      </c>
      <c r="C52" s="31"/>
      <c r="D52" s="31"/>
      <c r="E52" s="31"/>
      <c r="F52" s="31"/>
      <c r="G52" s="32"/>
      <c r="H52" s="32"/>
      <c r="I52" s="32"/>
      <c r="J52" s="31"/>
      <c r="K52" s="22"/>
      <c r="L52" s="20" t="str">
        <f aca="false">IF($A52="","",$K52/(Settings!$B$4+Settings!$B$5+SUM($M$3:$M51)))</f>
        <v/>
      </c>
      <c r="M52" s="22"/>
      <c r="N52" s="21" t="str">
        <f aca="false">IF(OR($A52="",$K52=0),"",$M52/$K52)</f>
        <v/>
      </c>
      <c r="O52" s="22" t="str">
        <f aca="false">IF($A52="","",SUM($M$4:$M52))</f>
        <v/>
      </c>
      <c r="P52" s="31"/>
    </row>
    <row r="53" customFormat="false" ht="15" hidden="false" customHeight="false" outlineLevel="0" collapsed="false">
      <c r="A53" s="23"/>
      <c r="B53" s="24" t="str">
        <f aca="false">IF($A53="","",TEXT($A53,"YYYY-MM"))</f>
        <v/>
      </c>
      <c r="C53" s="25"/>
      <c r="D53" s="25"/>
      <c r="E53" s="25"/>
      <c r="F53" s="25"/>
      <c r="G53" s="26"/>
      <c r="H53" s="26"/>
      <c r="I53" s="26"/>
      <c r="J53" s="25"/>
      <c r="K53" s="27"/>
      <c r="L53" s="28" t="str">
        <f aca="false">IF($A53="","",$K53/(Settings!$B$4+Settings!$B$5+SUM($M$3:$M52)))</f>
        <v/>
      </c>
      <c r="M53" s="27"/>
      <c r="N53" s="29" t="str">
        <f aca="false">IF(OR($A53="",$K53=0),"",$M53/$K53)</f>
        <v/>
      </c>
      <c r="O53" s="27" t="str">
        <f aca="false">IF($A53="","",SUM($M$4:$M53))</f>
        <v/>
      </c>
      <c r="P53" s="25"/>
    </row>
    <row r="54" customFormat="false" ht="15" hidden="false" customHeight="false" outlineLevel="0" collapsed="false">
      <c r="A54" s="30"/>
      <c r="B54" s="16" t="str">
        <f aca="false">IF($A54="","",TEXT($A54,"YYYY-MM"))</f>
        <v/>
      </c>
      <c r="C54" s="31"/>
      <c r="D54" s="31"/>
      <c r="E54" s="31"/>
      <c r="F54" s="31"/>
      <c r="G54" s="32"/>
      <c r="H54" s="32"/>
      <c r="I54" s="32"/>
      <c r="J54" s="31"/>
      <c r="K54" s="22"/>
      <c r="L54" s="20" t="str">
        <f aca="false">IF($A54="","",$K54/(Settings!$B$4+Settings!$B$5+SUM($M$3:$M53)))</f>
        <v/>
      </c>
      <c r="M54" s="22"/>
      <c r="N54" s="21" t="str">
        <f aca="false">IF(OR($A54="",$K54=0),"",$M54/$K54)</f>
        <v/>
      </c>
      <c r="O54" s="22" t="str">
        <f aca="false">IF($A54="","",SUM($M$4:$M54))</f>
        <v/>
      </c>
      <c r="P54" s="31"/>
    </row>
    <row r="55" customFormat="false" ht="15" hidden="false" customHeight="false" outlineLevel="0" collapsed="false">
      <c r="A55" s="23"/>
      <c r="B55" s="24" t="str">
        <f aca="false">IF($A55="","",TEXT($A55,"YYYY-MM"))</f>
        <v/>
      </c>
      <c r="C55" s="25"/>
      <c r="D55" s="25"/>
      <c r="E55" s="25"/>
      <c r="F55" s="25"/>
      <c r="G55" s="26"/>
      <c r="H55" s="26"/>
      <c r="I55" s="26"/>
      <c r="J55" s="25"/>
      <c r="K55" s="27"/>
      <c r="L55" s="28" t="str">
        <f aca="false">IF($A55="","",$K55/(Settings!$B$4+Settings!$B$5+SUM($M$3:$M54)))</f>
        <v/>
      </c>
      <c r="M55" s="27"/>
      <c r="N55" s="29" t="str">
        <f aca="false">IF(OR($A55="",$K55=0),"",$M55/$K55)</f>
        <v/>
      </c>
      <c r="O55" s="27" t="str">
        <f aca="false">IF($A55="","",SUM($M$4:$M55))</f>
        <v/>
      </c>
      <c r="P55" s="25"/>
    </row>
    <row r="56" customFormat="false" ht="15" hidden="false" customHeight="false" outlineLevel="0" collapsed="false">
      <c r="A56" s="30"/>
      <c r="B56" s="16" t="str">
        <f aca="false">IF($A56="","",TEXT($A56,"YYYY-MM"))</f>
        <v/>
      </c>
      <c r="C56" s="31"/>
      <c r="D56" s="31"/>
      <c r="E56" s="31"/>
      <c r="F56" s="31"/>
      <c r="G56" s="32"/>
      <c r="H56" s="32"/>
      <c r="I56" s="32"/>
      <c r="J56" s="31"/>
      <c r="K56" s="22"/>
      <c r="L56" s="20" t="str">
        <f aca="false">IF($A56="","",$K56/(Settings!$B$4+Settings!$B$5+SUM($M$3:$M55)))</f>
        <v/>
      </c>
      <c r="M56" s="22"/>
      <c r="N56" s="21" t="str">
        <f aca="false">IF(OR($A56="",$K56=0),"",$M56/$K56)</f>
        <v/>
      </c>
      <c r="O56" s="22" t="str">
        <f aca="false">IF($A56="","",SUM($M$4:$M56))</f>
        <v/>
      </c>
      <c r="P56" s="31"/>
    </row>
    <row r="57" customFormat="false" ht="15" hidden="false" customHeight="false" outlineLevel="0" collapsed="false">
      <c r="A57" s="23"/>
      <c r="B57" s="24" t="str">
        <f aca="false">IF($A57="","",TEXT($A57,"YYYY-MM"))</f>
        <v/>
      </c>
      <c r="C57" s="25"/>
      <c r="D57" s="25"/>
      <c r="E57" s="25"/>
      <c r="F57" s="25"/>
      <c r="G57" s="26"/>
      <c r="H57" s="26"/>
      <c r="I57" s="26"/>
      <c r="J57" s="25"/>
      <c r="K57" s="27"/>
      <c r="L57" s="28" t="str">
        <f aca="false">IF($A57="","",$K57/(Settings!$B$4+Settings!$B$5+SUM($M$3:$M56)))</f>
        <v/>
      </c>
      <c r="M57" s="27"/>
      <c r="N57" s="29" t="str">
        <f aca="false">IF(OR($A57="",$K57=0),"",$M57/$K57)</f>
        <v/>
      </c>
      <c r="O57" s="27" t="str">
        <f aca="false">IF($A57="","",SUM($M$4:$M57))</f>
        <v/>
      </c>
      <c r="P57" s="25"/>
    </row>
    <row r="58" customFormat="false" ht="15" hidden="false" customHeight="false" outlineLevel="0" collapsed="false">
      <c r="A58" s="30"/>
      <c r="B58" s="16" t="str">
        <f aca="false">IF($A58="","",TEXT($A58,"YYYY-MM"))</f>
        <v/>
      </c>
      <c r="C58" s="31"/>
      <c r="D58" s="31"/>
      <c r="E58" s="31"/>
      <c r="F58" s="31"/>
      <c r="G58" s="32"/>
      <c r="H58" s="32"/>
      <c r="I58" s="32"/>
      <c r="J58" s="31"/>
      <c r="K58" s="22"/>
      <c r="L58" s="20" t="str">
        <f aca="false">IF($A58="","",$K58/(Settings!$B$4+Settings!$B$5+SUM($M$3:$M57)))</f>
        <v/>
      </c>
      <c r="M58" s="22"/>
      <c r="N58" s="21" t="str">
        <f aca="false">IF(OR($A58="",$K58=0),"",$M58/$K58)</f>
        <v/>
      </c>
      <c r="O58" s="22" t="str">
        <f aca="false">IF($A58="","",SUM($M$4:$M58))</f>
        <v/>
      </c>
      <c r="P58" s="31"/>
    </row>
    <row r="59" customFormat="false" ht="15" hidden="false" customHeight="false" outlineLevel="0" collapsed="false">
      <c r="A59" s="23"/>
      <c r="B59" s="24" t="str">
        <f aca="false">IF($A59="","",TEXT($A59,"YYYY-MM"))</f>
        <v/>
      </c>
      <c r="C59" s="25"/>
      <c r="D59" s="25"/>
      <c r="E59" s="25"/>
      <c r="F59" s="25"/>
      <c r="G59" s="26"/>
      <c r="H59" s="26"/>
      <c r="I59" s="26"/>
      <c r="J59" s="25"/>
      <c r="K59" s="27"/>
      <c r="L59" s="28" t="str">
        <f aca="false">IF($A59="","",$K59/(Settings!$B$4+Settings!$B$5+SUM($M$3:$M58)))</f>
        <v/>
      </c>
      <c r="M59" s="27"/>
      <c r="N59" s="29" t="str">
        <f aca="false">IF(OR($A59="",$K59=0),"",$M59/$K59)</f>
        <v/>
      </c>
      <c r="O59" s="27" t="str">
        <f aca="false">IF($A59="","",SUM($M$4:$M59))</f>
        <v/>
      </c>
      <c r="P59" s="25"/>
    </row>
    <row r="60" customFormat="false" ht="15" hidden="false" customHeight="false" outlineLevel="0" collapsed="false">
      <c r="A60" s="30"/>
      <c r="B60" s="16" t="str">
        <f aca="false">IF($A60="","",TEXT($A60,"YYYY-MM"))</f>
        <v/>
      </c>
      <c r="C60" s="31"/>
      <c r="D60" s="31"/>
      <c r="E60" s="31"/>
      <c r="F60" s="31"/>
      <c r="G60" s="32"/>
      <c r="H60" s="32"/>
      <c r="I60" s="32"/>
      <c r="J60" s="31"/>
      <c r="K60" s="22"/>
      <c r="L60" s="20" t="str">
        <f aca="false">IF($A60="","",$K60/(Settings!$B$4+Settings!$B$5+SUM($M$3:$M59)))</f>
        <v/>
      </c>
      <c r="M60" s="22"/>
      <c r="N60" s="21" t="str">
        <f aca="false">IF(OR($A60="",$K60=0),"",$M60/$K60)</f>
        <v/>
      </c>
      <c r="O60" s="22" t="str">
        <f aca="false">IF($A60="","",SUM($M$4:$M60))</f>
        <v/>
      </c>
      <c r="P60" s="31"/>
    </row>
    <row r="61" customFormat="false" ht="15" hidden="false" customHeight="false" outlineLevel="0" collapsed="false">
      <c r="A61" s="23"/>
      <c r="B61" s="24" t="str">
        <f aca="false">IF($A61="","",TEXT($A61,"YYYY-MM"))</f>
        <v/>
      </c>
      <c r="C61" s="25"/>
      <c r="D61" s="25"/>
      <c r="E61" s="25"/>
      <c r="F61" s="25"/>
      <c r="G61" s="26"/>
      <c r="H61" s="26"/>
      <c r="I61" s="26"/>
      <c r="J61" s="25"/>
      <c r="K61" s="27"/>
      <c r="L61" s="28" t="str">
        <f aca="false">IF($A61="","",$K61/(Settings!$B$4+Settings!$B$5+SUM($M$3:$M60)))</f>
        <v/>
      </c>
      <c r="M61" s="27"/>
      <c r="N61" s="29" t="str">
        <f aca="false">IF(OR($A61="",$K61=0),"",$M61/$K61)</f>
        <v/>
      </c>
      <c r="O61" s="27" t="str">
        <f aca="false">IF($A61="","",SUM($M$4:$M61))</f>
        <v/>
      </c>
      <c r="P61" s="25"/>
    </row>
    <row r="62" customFormat="false" ht="15" hidden="false" customHeight="false" outlineLevel="0" collapsed="false">
      <c r="A62" s="30"/>
      <c r="B62" s="16" t="str">
        <f aca="false">IF($A62="","",TEXT($A62,"YYYY-MM"))</f>
        <v/>
      </c>
      <c r="C62" s="31"/>
      <c r="D62" s="31"/>
      <c r="E62" s="31"/>
      <c r="F62" s="31"/>
      <c r="G62" s="32"/>
      <c r="H62" s="32"/>
      <c r="I62" s="32"/>
      <c r="J62" s="31"/>
      <c r="K62" s="22"/>
      <c r="L62" s="20" t="str">
        <f aca="false">IF($A62="","",$K62/(Settings!$B$4+Settings!$B$5+SUM($M$3:$M61)))</f>
        <v/>
      </c>
      <c r="M62" s="22"/>
      <c r="N62" s="21" t="str">
        <f aca="false">IF(OR($A62="",$K62=0),"",$M62/$K62)</f>
        <v/>
      </c>
      <c r="O62" s="22" t="str">
        <f aca="false">IF($A62="","",SUM($M$4:$M62))</f>
        <v/>
      </c>
      <c r="P62" s="31"/>
    </row>
    <row r="63" customFormat="false" ht="15" hidden="false" customHeight="false" outlineLevel="0" collapsed="false">
      <c r="A63" s="23"/>
      <c r="B63" s="24" t="str">
        <f aca="false">IF($A63="","",TEXT($A63,"YYYY-MM"))</f>
        <v/>
      </c>
      <c r="C63" s="25"/>
      <c r="D63" s="25"/>
      <c r="E63" s="25"/>
      <c r="F63" s="25"/>
      <c r="G63" s="26"/>
      <c r="H63" s="26"/>
      <c r="I63" s="26"/>
      <c r="J63" s="25"/>
      <c r="K63" s="27"/>
      <c r="L63" s="28" t="str">
        <f aca="false">IF($A63="","",$K63/(Settings!$B$4+Settings!$B$5+SUM($M$3:$M62)))</f>
        <v/>
      </c>
      <c r="M63" s="27"/>
      <c r="N63" s="29" t="str">
        <f aca="false">IF(OR($A63="",$K63=0),"",$M63/$K63)</f>
        <v/>
      </c>
      <c r="O63" s="27" t="str">
        <f aca="false">IF($A63="","",SUM($M$4:$M63))</f>
        <v/>
      </c>
      <c r="P63" s="25"/>
    </row>
    <row r="64" customFormat="false" ht="15" hidden="false" customHeight="false" outlineLevel="0" collapsed="false">
      <c r="A64" s="30"/>
      <c r="B64" s="16" t="str">
        <f aca="false">IF($A64="","",TEXT($A64,"YYYY-MM"))</f>
        <v/>
      </c>
      <c r="C64" s="31"/>
      <c r="D64" s="31"/>
      <c r="E64" s="31"/>
      <c r="F64" s="31"/>
      <c r="G64" s="32"/>
      <c r="H64" s="32"/>
      <c r="I64" s="32"/>
      <c r="J64" s="31"/>
      <c r="K64" s="22"/>
      <c r="L64" s="20" t="str">
        <f aca="false">IF($A64="","",$K64/(Settings!$B$4+Settings!$B$5+SUM($M$3:$M63)))</f>
        <v/>
      </c>
      <c r="M64" s="22"/>
      <c r="N64" s="21" t="str">
        <f aca="false">IF(OR($A64="",$K64=0),"",$M64/$K64)</f>
        <v/>
      </c>
      <c r="O64" s="22" t="str">
        <f aca="false">IF($A64="","",SUM($M$4:$M64))</f>
        <v/>
      </c>
      <c r="P64" s="31"/>
    </row>
    <row r="65" customFormat="false" ht="15" hidden="false" customHeight="false" outlineLevel="0" collapsed="false">
      <c r="A65" s="23"/>
      <c r="B65" s="24" t="str">
        <f aca="false">IF($A65="","",TEXT($A65,"YYYY-MM"))</f>
        <v/>
      </c>
      <c r="C65" s="25"/>
      <c r="D65" s="25"/>
      <c r="E65" s="25"/>
      <c r="F65" s="25"/>
      <c r="G65" s="26"/>
      <c r="H65" s="26"/>
      <c r="I65" s="26"/>
      <c r="J65" s="25"/>
      <c r="K65" s="27"/>
      <c r="L65" s="28" t="str">
        <f aca="false">IF($A65="","",$K65/(Settings!$B$4+Settings!$B$5+SUM($M$3:$M64)))</f>
        <v/>
      </c>
      <c r="M65" s="27"/>
      <c r="N65" s="29" t="str">
        <f aca="false">IF(OR($A65="",$K65=0),"",$M65/$K65)</f>
        <v/>
      </c>
      <c r="O65" s="27" t="str">
        <f aca="false">IF($A65="","",SUM($M$4:$M65))</f>
        <v/>
      </c>
      <c r="P65" s="25"/>
    </row>
    <row r="66" customFormat="false" ht="15" hidden="false" customHeight="false" outlineLevel="0" collapsed="false">
      <c r="A66" s="30"/>
      <c r="B66" s="16" t="str">
        <f aca="false">IF($A66="","",TEXT($A66,"YYYY-MM"))</f>
        <v/>
      </c>
      <c r="C66" s="31"/>
      <c r="D66" s="31"/>
      <c r="E66" s="31"/>
      <c r="F66" s="31"/>
      <c r="G66" s="32"/>
      <c r="H66" s="32"/>
      <c r="I66" s="32"/>
      <c r="J66" s="31"/>
      <c r="K66" s="22"/>
      <c r="L66" s="20" t="str">
        <f aca="false">IF($A66="","",$K66/(Settings!$B$4+Settings!$B$5+SUM($M$3:$M65)))</f>
        <v/>
      </c>
      <c r="M66" s="22"/>
      <c r="N66" s="21" t="str">
        <f aca="false">IF(OR($A66="",$K66=0),"",$M66/$K66)</f>
        <v/>
      </c>
      <c r="O66" s="22" t="str">
        <f aca="false">IF($A66="","",SUM($M$4:$M66))</f>
        <v/>
      </c>
      <c r="P66" s="31"/>
    </row>
    <row r="67" customFormat="false" ht="15" hidden="false" customHeight="false" outlineLevel="0" collapsed="false">
      <c r="A67" s="23"/>
      <c r="B67" s="24" t="str">
        <f aca="false">IF($A67="","",TEXT($A67,"YYYY-MM"))</f>
        <v/>
      </c>
      <c r="C67" s="25"/>
      <c r="D67" s="25"/>
      <c r="E67" s="25"/>
      <c r="F67" s="25"/>
      <c r="G67" s="26"/>
      <c r="H67" s="26"/>
      <c r="I67" s="26"/>
      <c r="J67" s="25"/>
      <c r="K67" s="27"/>
      <c r="L67" s="28" t="str">
        <f aca="false">IF($A67="","",$K67/(Settings!$B$4+Settings!$B$5+SUM($M$3:$M66)))</f>
        <v/>
      </c>
      <c r="M67" s="27"/>
      <c r="N67" s="29" t="str">
        <f aca="false">IF(OR($A67="",$K67=0),"",$M67/$K67)</f>
        <v/>
      </c>
      <c r="O67" s="27" t="str">
        <f aca="false">IF($A67="","",SUM($M$4:$M67))</f>
        <v/>
      </c>
      <c r="P67" s="25"/>
    </row>
    <row r="68" customFormat="false" ht="15" hidden="false" customHeight="false" outlineLevel="0" collapsed="false">
      <c r="A68" s="30"/>
      <c r="B68" s="16" t="str">
        <f aca="false">IF($A68="","",TEXT($A68,"YYYY-MM"))</f>
        <v/>
      </c>
      <c r="C68" s="31"/>
      <c r="D68" s="31"/>
      <c r="E68" s="31"/>
      <c r="F68" s="31"/>
      <c r="G68" s="32"/>
      <c r="H68" s="32"/>
      <c r="I68" s="32"/>
      <c r="J68" s="31"/>
      <c r="K68" s="22"/>
      <c r="L68" s="20" t="str">
        <f aca="false">IF($A68="","",$K68/(Settings!$B$4+Settings!$B$5+SUM($M$3:$M67)))</f>
        <v/>
      </c>
      <c r="M68" s="22"/>
      <c r="N68" s="21" t="str">
        <f aca="false">IF(OR($A68="",$K68=0),"",$M68/$K68)</f>
        <v/>
      </c>
      <c r="O68" s="22" t="str">
        <f aca="false">IF($A68="","",SUM($M$4:$M68))</f>
        <v/>
      </c>
      <c r="P68" s="31"/>
    </row>
    <row r="69" customFormat="false" ht="15" hidden="false" customHeight="false" outlineLevel="0" collapsed="false">
      <c r="A69" s="23"/>
      <c r="B69" s="24" t="str">
        <f aca="false">IF($A69="","",TEXT($A69,"YYYY-MM"))</f>
        <v/>
      </c>
      <c r="C69" s="25"/>
      <c r="D69" s="25"/>
      <c r="E69" s="25"/>
      <c r="F69" s="25"/>
      <c r="G69" s="26"/>
      <c r="H69" s="26"/>
      <c r="I69" s="26"/>
      <c r="J69" s="25"/>
      <c r="K69" s="27"/>
      <c r="L69" s="28" t="str">
        <f aca="false">IF($A69="","",$K69/(Settings!$B$4+Settings!$B$5+SUM($M$3:$M68)))</f>
        <v/>
      </c>
      <c r="M69" s="27"/>
      <c r="N69" s="29" t="str">
        <f aca="false">IF(OR($A69="",$K69=0),"",$M69/$K69)</f>
        <v/>
      </c>
      <c r="O69" s="27" t="str">
        <f aca="false">IF($A69="","",SUM($M$4:$M69))</f>
        <v/>
      </c>
      <c r="P69" s="25"/>
    </row>
    <row r="70" customFormat="false" ht="15" hidden="false" customHeight="false" outlineLevel="0" collapsed="false">
      <c r="A70" s="30"/>
      <c r="B70" s="16" t="str">
        <f aca="false">IF($A70="","",TEXT($A70,"YYYY-MM"))</f>
        <v/>
      </c>
      <c r="C70" s="31"/>
      <c r="D70" s="31"/>
      <c r="E70" s="31"/>
      <c r="F70" s="31"/>
      <c r="G70" s="32"/>
      <c r="H70" s="32"/>
      <c r="I70" s="32"/>
      <c r="J70" s="31"/>
      <c r="K70" s="22"/>
      <c r="L70" s="20" t="str">
        <f aca="false">IF($A70="","",$K70/(Settings!$B$4+Settings!$B$5+SUM($M$3:$M69)))</f>
        <v/>
      </c>
      <c r="M70" s="22"/>
      <c r="N70" s="21" t="str">
        <f aca="false">IF(OR($A70="",$K70=0),"",$M70/$K70)</f>
        <v/>
      </c>
      <c r="O70" s="22" t="str">
        <f aca="false">IF($A70="","",SUM($M$4:$M70))</f>
        <v/>
      </c>
      <c r="P70" s="31"/>
    </row>
    <row r="71" customFormat="false" ht="15" hidden="false" customHeight="false" outlineLevel="0" collapsed="false">
      <c r="A71" s="23"/>
      <c r="B71" s="24" t="str">
        <f aca="false">IF($A71="","",TEXT($A71,"YYYY-MM"))</f>
        <v/>
      </c>
      <c r="C71" s="25"/>
      <c r="D71" s="25"/>
      <c r="E71" s="25"/>
      <c r="F71" s="25"/>
      <c r="G71" s="26"/>
      <c r="H71" s="26"/>
      <c r="I71" s="26"/>
      <c r="J71" s="25"/>
      <c r="K71" s="27"/>
      <c r="L71" s="28" t="str">
        <f aca="false">IF($A71="","",$K71/(Settings!$B$4+Settings!$B$5+SUM($M$3:$M70)))</f>
        <v/>
      </c>
      <c r="M71" s="27"/>
      <c r="N71" s="29" t="str">
        <f aca="false">IF(OR($A71="",$K71=0),"",$M71/$K71)</f>
        <v/>
      </c>
      <c r="O71" s="27" t="str">
        <f aca="false">IF($A71="","",SUM($M$4:$M71))</f>
        <v/>
      </c>
      <c r="P71" s="25"/>
    </row>
    <row r="72" customFormat="false" ht="15" hidden="false" customHeight="false" outlineLevel="0" collapsed="false">
      <c r="A72" s="30"/>
      <c r="B72" s="16" t="str">
        <f aca="false">IF($A72="","",TEXT($A72,"YYYY-MM"))</f>
        <v/>
      </c>
      <c r="C72" s="31"/>
      <c r="D72" s="31"/>
      <c r="E72" s="31"/>
      <c r="F72" s="31"/>
      <c r="G72" s="32"/>
      <c r="H72" s="32"/>
      <c r="I72" s="32"/>
      <c r="J72" s="31"/>
      <c r="K72" s="22"/>
      <c r="L72" s="20" t="str">
        <f aca="false">IF($A72="","",$K72/(Settings!$B$4+Settings!$B$5+SUM($M$3:$M71)))</f>
        <v/>
      </c>
      <c r="M72" s="22"/>
      <c r="N72" s="21" t="str">
        <f aca="false">IF(OR($A72="",$K72=0),"",$M72/$K72)</f>
        <v/>
      </c>
      <c r="O72" s="22" t="str">
        <f aca="false">IF($A72="","",SUM($M$4:$M72))</f>
        <v/>
      </c>
      <c r="P72" s="31"/>
    </row>
    <row r="73" customFormat="false" ht="15" hidden="false" customHeight="false" outlineLevel="0" collapsed="false">
      <c r="A73" s="23"/>
      <c r="B73" s="24" t="str">
        <f aca="false">IF($A73="","",TEXT($A73,"YYYY-MM"))</f>
        <v/>
      </c>
      <c r="C73" s="25"/>
      <c r="D73" s="25"/>
      <c r="E73" s="25"/>
      <c r="F73" s="25"/>
      <c r="G73" s="26"/>
      <c r="H73" s="26"/>
      <c r="I73" s="26"/>
      <c r="J73" s="25"/>
      <c r="K73" s="27"/>
      <c r="L73" s="28" t="str">
        <f aca="false">IF($A73="","",$K73/(Settings!$B$4+Settings!$B$5+SUM($M$3:$M72)))</f>
        <v/>
      </c>
      <c r="M73" s="27"/>
      <c r="N73" s="29" t="str">
        <f aca="false">IF(OR($A73="",$K73=0),"",$M73/$K73)</f>
        <v/>
      </c>
      <c r="O73" s="27" t="str">
        <f aca="false">IF($A73="","",SUM($M$4:$M73))</f>
        <v/>
      </c>
      <c r="P73" s="25"/>
    </row>
    <row r="74" customFormat="false" ht="15" hidden="false" customHeight="false" outlineLevel="0" collapsed="false">
      <c r="A74" s="30"/>
      <c r="B74" s="16" t="str">
        <f aca="false">IF($A74="","",TEXT($A74,"YYYY-MM"))</f>
        <v/>
      </c>
      <c r="C74" s="31"/>
      <c r="D74" s="31"/>
      <c r="E74" s="31"/>
      <c r="F74" s="31"/>
      <c r="G74" s="32"/>
      <c r="H74" s="32"/>
      <c r="I74" s="32"/>
      <c r="J74" s="31"/>
      <c r="K74" s="22"/>
      <c r="L74" s="20" t="str">
        <f aca="false">IF($A74="","",$K74/(Settings!$B$4+Settings!$B$5+SUM($M$3:$M73)))</f>
        <v/>
      </c>
      <c r="M74" s="22"/>
      <c r="N74" s="21" t="str">
        <f aca="false">IF(OR($A74="",$K74=0),"",$M74/$K74)</f>
        <v/>
      </c>
      <c r="O74" s="22" t="str">
        <f aca="false">IF($A74="","",SUM($M$4:$M74))</f>
        <v/>
      </c>
      <c r="P74" s="31"/>
    </row>
    <row r="75" customFormat="false" ht="15" hidden="false" customHeight="false" outlineLevel="0" collapsed="false">
      <c r="A75" s="23"/>
      <c r="B75" s="24" t="str">
        <f aca="false">IF($A75="","",TEXT($A75,"YYYY-MM"))</f>
        <v/>
      </c>
      <c r="C75" s="25"/>
      <c r="D75" s="25"/>
      <c r="E75" s="25"/>
      <c r="F75" s="25"/>
      <c r="G75" s="26"/>
      <c r="H75" s="26"/>
      <c r="I75" s="26"/>
      <c r="J75" s="25"/>
      <c r="K75" s="27"/>
      <c r="L75" s="28" t="str">
        <f aca="false">IF($A75="","",$K75/(Settings!$B$4+Settings!$B$5+SUM($M$3:$M74)))</f>
        <v/>
      </c>
      <c r="M75" s="27"/>
      <c r="N75" s="29" t="str">
        <f aca="false">IF(OR($A75="",$K75=0),"",$M75/$K75)</f>
        <v/>
      </c>
      <c r="O75" s="27" t="str">
        <f aca="false">IF($A75="","",SUM($M$4:$M75))</f>
        <v/>
      </c>
      <c r="P75" s="25"/>
    </row>
    <row r="76" customFormat="false" ht="15" hidden="false" customHeight="false" outlineLevel="0" collapsed="false">
      <c r="A76" s="30"/>
      <c r="B76" s="16" t="str">
        <f aca="false">IF($A76="","",TEXT($A76,"YYYY-MM"))</f>
        <v/>
      </c>
      <c r="C76" s="31"/>
      <c r="D76" s="31"/>
      <c r="E76" s="31"/>
      <c r="F76" s="31"/>
      <c r="G76" s="32"/>
      <c r="H76" s="32"/>
      <c r="I76" s="32"/>
      <c r="J76" s="31"/>
      <c r="K76" s="22"/>
      <c r="L76" s="20" t="str">
        <f aca="false">IF($A76="","",$K76/(Settings!$B$4+Settings!$B$5+SUM($M$3:$M75)))</f>
        <v/>
      </c>
      <c r="M76" s="22"/>
      <c r="N76" s="21" t="str">
        <f aca="false">IF(OR($A76="",$K76=0),"",$M76/$K76)</f>
        <v/>
      </c>
      <c r="O76" s="22" t="str">
        <f aca="false">IF($A76="","",SUM($M$4:$M76))</f>
        <v/>
      </c>
      <c r="P76" s="31"/>
    </row>
    <row r="77" customFormat="false" ht="15" hidden="false" customHeight="false" outlineLevel="0" collapsed="false">
      <c r="A77" s="23"/>
      <c r="B77" s="24" t="str">
        <f aca="false">IF($A77="","",TEXT($A77,"YYYY-MM"))</f>
        <v/>
      </c>
      <c r="C77" s="25"/>
      <c r="D77" s="25"/>
      <c r="E77" s="25"/>
      <c r="F77" s="25"/>
      <c r="G77" s="26"/>
      <c r="H77" s="26"/>
      <c r="I77" s="26"/>
      <c r="J77" s="25"/>
      <c r="K77" s="27"/>
      <c r="L77" s="28" t="str">
        <f aca="false">IF($A77="","",$K77/(Settings!$B$4+Settings!$B$5+SUM($M$3:$M76)))</f>
        <v/>
      </c>
      <c r="M77" s="27"/>
      <c r="N77" s="29" t="str">
        <f aca="false">IF(OR($A77="",$K77=0),"",$M77/$K77)</f>
        <v/>
      </c>
      <c r="O77" s="27" t="str">
        <f aca="false">IF($A77="","",SUM($M$4:$M77))</f>
        <v/>
      </c>
      <c r="P77" s="25"/>
    </row>
    <row r="78" customFormat="false" ht="15" hidden="false" customHeight="false" outlineLevel="0" collapsed="false">
      <c r="A78" s="30"/>
      <c r="B78" s="16" t="str">
        <f aca="false">IF($A78="","",TEXT($A78,"YYYY-MM"))</f>
        <v/>
      </c>
      <c r="C78" s="31"/>
      <c r="D78" s="31"/>
      <c r="E78" s="31"/>
      <c r="F78" s="31"/>
      <c r="G78" s="32"/>
      <c r="H78" s="32"/>
      <c r="I78" s="32"/>
      <c r="J78" s="31"/>
      <c r="K78" s="22"/>
      <c r="L78" s="20" t="str">
        <f aca="false">IF($A78="","",$K78/(Settings!$B$4+Settings!$B$5+SUM($M$3:$M77)))</f>
        <v/>
      </c>
      <c r="M78" s="22"/>
      <c r="N78" s="21" t="str">
        <f aca="false">IF(OR($A78="",$K78=0),"",$M78/$K78)</f>
        <v/>
      </c>
      <c r="O78" s="22" t="str">
        <f aca="false">IF($A78="","",SUM($M$4:$M78))</f>
        <v/>
      </c>
      <c r="P78" s="31"/>
    </row>
    <row r="79" customFormat="false" ht="15" hidden="false" customHeight="false" outlineLevel="0" collapsed="false">
      <c r="A79" s="23"/>
      <c r="B79" s="24" t="str">
        <f aca="false">IF($A79="","",TEXT($A79,"YYYY-MM"))</f>
        <v/>
      </c>
      <c r="C79" s="25"/>
      <c r="D79" s="25"/>
      <c r="E79" s="25"/>
      <c r="F79" s="25"/>
      <c r="G79" s="26"/>
      <c r="H79" s="26"/>
      <c r="I79" s="26"/>
      <c r="J79" s="25"/>
      <c r="K79" s="27"/>
      <c r="L79" s="28" t="str">
        <f aca="false">IF($A79="","",$K79/(Settings!$B$4+Settings!$B$5+SUM($M$3:$M78)))</f>
        <v/>
      </c>
      <c r="M79" s="27"/>
      <c r="N79" s="29" t="str">
        <f aca="false">IF(OR($A79="",$K79=0),"",$M79/$K79)</f>
        <v/>
      </c>
      <c r="O79" s="27" t="str">
        <f aca="false">IF($A79="","",SUM($M$4:$M79))</f>
        <v/>
      </c>
      <c r="P79" s="25"/>
    </row>
    <row r="80" customFormat="false" ht="15" hidden="false" customHeight="false" outlineLevel="0" collapsed="false">
      <c r="A80" s="30"/>
      <c r="B80" s="16" t="str">
        <f aca="false">IF($A80="","",TEXT($A80,"YYYY-MM"))</f>
        <v/>
      </c>
      <c r="C80" s="31"/>
      <c r="D80" s="31"/>
      <c r="E80" s="31"/>
      <c r="F80" s="31"/>
      <c r="G80" s="32"/>
      <c r="H80" s="32"/>
      <c r="I80" s="32"/>
      <c r="J80" s="31"/>
      <c r="K80" s="22"/>
      <c r="L80" s="20" t="str">
        <f aca="false">IF($A80="","",$K80/(Settings!$B$4+Settings!$B$5+SUM($M$3:$M79)))</f>
        <v/>
      </c>
      <c r="M80" s="22"/>
      <c r="N80" s="21" t="str">
        <f aca="false">IF(OR($A80="",$K80=0),"",$M80/$K80)</f>
        <v/>
      </c>
      <c r="O80" s="22" t="str">
        <f aca="false">IF($A80="","",SUM($M$4:$M80))</f>
        <v/>
      </c>
      <c r="P80" s="31"/>
    </row>
    <row r="81" customFormat="false" ht="15" hidden="false" customHeight="false" outlineLevel="0" collapsed="false">
      <c r="A81" s="23"/>
      <c r="B81" s="24" t="str">
        <f aca="false">IF($A81="","",TEXT($A81,"YYYY-MM"))</f>
        <v/>
      </c>
      <c r="C81" s="25"/>
      <c r="D81" s="25"/>
      <c r="E81" s="25"/>
      <c r="F81" s="25"/>
      <c r="G81" s="26"/>
      <c r="H81" s="26"/>
      <c r="I81" s="26"/>
      <c r="J81" s="25"/>
      <c r="K81" s="27"/>
      <c r="L81" s="28" t="str">
        <f aca="false">IF($A81="","",$K81/(Settings!$B$4+Settings!$B$5+SUM($M$3:$M80)))</f>
        <v/>
      </c>
      <c r="M81" s="27"/>
      <c r="N81" s="29" t="str">
        <f aca="false">IF(OR($A81="",$K81=0),"",$M81/$K81)</f>
        <v/>
      </c>
      <c r="O81" s="27" t="str">
        <f aca="false">IF($A81="","",SUM($M$4:$M81))</f>
        <v/>
      </c>
      <c r="P81" s="25"/>
    </row>
    <row r="82" customFormat="false" ht="15" hidden="false" customHeight="false" outlineLevel="0" collapsed="false">
      <c r="A82" s="30"/>
      <c r="B82" s="16" t="str">
        <f aca="false">IF($A82="","",TEXT($A82,"YYYY-MM"))</f>
        <v/>
      </c>
      <c r="C82" s="31"/>
      <c r="D82" s="31"/>
      <c r="E82" s="31"/>
      <c r="F82" s="31"/>
      <c r="G82" s="32"/>
      <c r="H82" s="32"/>
      <c r="I82" s="32"/>
      <c r="J82" s="31"/>
      <c r="K82" s="22"/>
      <c r="L82" s="20" t="str">
        <f aca="false">IF($A82="","",$K82/(Settings!$B$4+Settings!$B$5+SUM($M$3:$M81)))</f>
        <v/>
      </c>
      <c r="M82" s="22"/>
      <c r="N82" s="21" t="str">
        <f aca="false">IF(OR($A82="",$K82=0),"",$M82/$K82)</f>
        <v/>
      </c>
      <c r="O82" s="22" t="str">
        <f aca="false">IF($A82="","",SUM($M$4:$M82))</f>
        <v/>
      </c>
      <c r="P82" s="31"/>
    </row>
    <row r="83" customFormat="false" ht="15" hidden="false" customHeight="false" outlineLevel="0" collapsed="false">
      <c r="A83" s="23"/>
      <c r="B83" s="24" t="str">
        <f aca="false">IF($A83="","",TEXT($A83,"YYYY-MM"))</f>
        <v/>
      </c>
      <c r="C83" s="25"/>
      <c r="D83" s="25"/>
      <c r="E83" s="25"/>
      <c r="F83" s="25"/>
      <c r="G83" s="26"/>
      <c r="H83" s="26"/>
      <c r="I83" s="26"/>
      <c r="J83" s="25"/>
      <c r="K83" s="27"/>
      <c r="L83" s="28" t="str">
        <f aca="false">IF($A83="","",$K83/(Settings!$B$4+Settings!$B$5+SUM($M$3:$M82)))</f>
        <v/>
      </c>
      <c r="M83" s="27"/>
      <c r="N83" s="29" t="str">
        <f aca="false">IF(OR($A83="",$K83=0),"",$M83/$K83)</f>
        <v/>
      </c>
      <c r="O83" s="27" t="str">
        <f aca="false">IF($A83="","",SUM($M$4:$M83))</f>
        <v/>
      </c>
      <c r="P83" s="25"/>
    </row>
    <row r="84" customFormat="false" ht="15" hidden="false" customHeight="false" outlineLevel="0" collapsed="false">
      <c r="A84" s="30"/>
      <c r="B84" s="16" t="str">
        <f aca="false">IF($A84="","",TEXT($A84,"YYYY-MM"))</f>
        <v/>
      </c>
      <c r="C84" s="31"/>
      <c r="D84" s="31"/>
      <c r="E84" s="31"/>
      <c r="F84" s="31"/>
      <c r="G84" s="32"/>
      <c r="H84" s="32"/>
      <c r="I84" s="32"/>
      <c r="J84" s="31"/>
      <c r="K84" s="22"/>
      <c r="L84" s="20" t="str">
        <f aca="false">IF($A84="","",$K84/(Settings!$B$4+Settings!$B$5+SUM($M$3:$M83)))</f>
        <v/>
      </c>
      <c r="M84" s="22"/>
      <c r="N84" s="21" t="str">
        <f aca="false">IF(OR($A84="",$K84=0),"",$M84/$K84)</f>
        <v/>
      </c>
      <c r="O84" s="22" t="str">
        <f aca="false">IF($A84="","",SUM($M$4:$M84))</f>
        <v/>
      </c>
      <c r="P84" s="31"/>
    </row>
    <row r="85" customFormat="false" ht="15" hidden="false" customHeight="false" outlineLevel="0" collapsed="false">
      <c r="A85" s="23"/>
      <c r="B85" s="24" t="str">
        <f aca="false">IF($A85="","",TEXT($A85,"YYYY-MM"))</f>
        <v/>
      </c>
      <c r="C85" s="25"/>
      <c r="D85" s="25"/>
      <c r="E85" s="25"/>
      <c r="F85" s="25"/>
      <c r="G85" s="26"/>
      <c r="H85" s="26"/>
      <c r="I85" s="26"/>
      <c r="J85" s="25"/>
      <c r="K85" s="27"/>
      <c r="L85" s="28" t="str">
        <f aca="false">IF($A85="","",$K85/(Settings!$B$4+Settings!$B$5+SUM($M$3:$M84)))</f>
        <v/>
      </c>
      <c r="M85" s="27"/>
      <c r="N85" s="29" t="str">
        <f aca="false">IF(OR($A85="",$K85=0),"",$M85/$K85)</f>
        <v/>
      </c>
      <c r="O85" s="27" t="str">
        <f aca="false">IF($A85="","",SUM($M$4:$M85))</f>
        <v/>
      </c>
      <c r="P85" s="25"/>
    </row>
    <row r="86" customFormat="false" ht="15" hidden="false" customHeight="false" outlineLevel="0" collapsed="false">
      <c r="A86" s="30"/>
      <c r="B86" s="16" t="str">
        <f aca="false">IF($A86="","",TEXT($A86,"YYYY-MM"))</f>
        <v/>
      </c>
      <c r="C86" s="31"/>
      <c r="D86" s="31"/>
      <c r="E86" s="31"/>
      <c r="F86" s="31"/>
      <c r="G86" s="32"/>
      <c r="H86" s="32"/>
      <c r="I86" s="32"/>
      <c r="J86" s="31"/>
      <c r="K86" s="22"/>
      <c r="L86" s="20" t="str">
        <f aca="false">IF($A86="","",$K86/(Settings!$B$4+Settings!$B$5+SUM($M$3:$M85)))</f>
        <v/>
      </c>
      <c r="M86" s="22"/>
      <c r="N86" s="21" t="str">
        <f aca="false">IF(OR($A86="",$K86=0),"",$M86/$K86)</f>
        <v/>
      </c>
      <c r="O86" s="22" t="str">
        <f aca="false">IF($A86="","",SUM($M$4:$M86))</f>
        <v/>
      </c>
      <c r="P86" s="31"/>
    </row>
    <row r="87" customFormat="false" ht="15" hidden="false" customHeight="false" outlineLevel="0" collapsed="false">
      <c r="A87" s="23"/>
      <c r="B87" s="24" t="str">
        <f aca="false">IF($A87="","",TEXT($A87,"YYYY-MM"))</f>
        <v/>
      </c>
      <c r="C87" s="25"/>
      <c r="D87" s="25"/>
      <c r="E87" s="25"/>
      <c r="F87" s="25"/>
      <c r="G87" s="26"/>
      <c r="H87" s="26"/>
      <c r="I87" s="26"/>
      <c r="J87" s="25"/>
      <c r="K87" s="27"/>
      <c r="L87" s="28" t="str">
        <f aca="false">IF($A87="","",$K87/(Settings!$B$4+Settings!$B$5+SUM($M$3:$M86)))</f>
        <v/>
      </c>
      <c r="M87" s="27"/>
      <c r="N87" s="29" t="str">
        <f aca="false">IF(OR($A87="",$K87=0),"",$M87/$K87)</f>
        <v/>
      </c>
      <c r="O87" s="27" t="str">
        <f aca="false">IF($A87="","",SUM($M$4:$M87))</f>
        <v/>
      </c>
      <c r="P87" s="25"/>
    </row>
    <row r="88" customFormat="false" ht="15" hidden="false" customHeight="false" outlineLevel="0" collapsed="false">
      <c r="A88" s="30"/>
      <c r="B88" s="16" t="str">
        <f aca="false">IF($A88="","",TEXT($A88,"YYYY-MM"))</f>
        <v/>
      </c>
      <c r="C88" s="31"/>
      <c r="D88" s="31"/>
      <c r="E88" s="31"/>
      <c r="F88" s="31"/>
      <c r="G88" s="32"/>
      <c r="H88" s="32"/>
      <c r="I88" s="32"/>
      <c r="J88" s="31"/>
      <c r="K88" s="22"/>
      <c r="L88" s="20" t="str">
        <f aca="false">IF($A88="","",$K88/(Settings!$B$4+Settings!$B$5+SUM($M$3:$M87)))</f>
        <v/>
      </c>
      <c r="M88" s="22"/>
      <c r="N88" s="21" t="str">
        <f aca="false">IF(OR($A88="",$K88=0),"",$M88/$K88)</f>
        <v/>
      </c>
      <c r="O88" s="22" t="str">
        <f aca="false">IF($A88="","",SUM($M$4:$M88))</f>
        <v/>
      </c>
      <c r="P88" s="31"/>
    </row>
    <row r="89" customFormat="false" ht="15" hidden="false" customHeight="false" outlineLevel="0" collapsed="false">
      <c r="A89" s="23"/>
      <c r="B89" s="24" t="str">
        <f aca="false">IF($A89="","",TEXT($A89,"YYYY-MM"))</f>
        <v/>
      </c>
      <c r="C89" s="25"/>
      <c r="D89" s="25"/>
      <c r="E89" s="25"/>
      <c r="F89" s="25"/>
      <c r="G89" s="26"/>
      <c r="H89" s="26"/>
      <c r="I89" s="26"/>
      <c r="J89" s="25"/>
      <c r="K89" s="27"/>
      <c r="L89" s="28" t="str">
        <f aca="false">IF($A89="","",$K89/(Settings!$B$4+Settings!$B$5+SUM($M$3:$M88)))</f>
        <v/>
      </c>
      <c r="M89" s="27"/>
      <c r="N89" s="29" t="str">
        <f aca="false">IF(OR($A89="",$K89=0),"",$M89/$K89)</f>
        <v/>
      </c>
      <c r="O89" s="27" t="str">
        <f aca="false">IF($A89="","",SUM($M$4:$M89))</f>
        <v/>
      </c>
      <c r="P89" s="25"/>
    </row>
    <row r="90" customFormat="false" ht="15" hidden="false" customHeight="false" outlineLevel="0" collapsed="false">
      <c r="A90" s="30"/>
      <c r="B90" s="16" t="str">
        <f aca="false">IF($A90="","",TEXT($A90,"YYYY-MM"))</f>
        <v/>
      </c>
      <c r="C90" s="31"/>
      <c r="D90" s="31"/>
      <c r="E90" s="31"/>
      <c r="F90" s="31"/>
      <c r="G90" s="32"/>
      <c r="H90" s="32"/>
      <c r="I90" s="32"/>
      <c r="J90" s="31"/>
      <c r="K90" s="22"/>
      <c r="L90" s="20" t="str">
        <f aca="false">IF($A90="","",$K90/(Settings!$B$4+Settings!$B$5+SUM($M$3:$M89)))</f>
        <v/>
      </c>
      <c r="M90" s="22"/>
      <c r="N90" s="21" t="str">
        <f aca="false">IF(OR($A90="",$K90=0),"",$M90/$K90)</f>
        <v/>
      </c>
      <c r="O90" s="22" t="str">
        <f aca="false">IF($A90="","",SUM($M$4:$M90))</f>
        <v/>
      </c>
      <c r="P90" s="31"/>
    </row>
    <row r="91" customFormat="false" ht="15" hidden="false" customHeight="false" outlineLevel="0" collapsed="false">
      <c r="A91" s="23"/>
      <c r="B91" s="24" t="str">
        <f aca="false">IF($A91="","",TEXT($A91,"YYYY-MM"))</f>
        <v/>
      </c>
      <c r="C91" s="25"/>
      <c r="D91" s="25"/>
      <c r="E91" s="25"/>
      <c r="F91" s="25"/>
      <c r="G91" s="26"/>
      <c r="H91" s="26"/>
      <c r="I91" s="26"/>
      <c r="J91" s="25"/>
      <c r="K91" s="27"/>
      <c r="L91" s="28" t="str">
        <f aca="false">IF($A91="","",$K91/(Settings!$B$4+Settings!$B$5+SUM($M$3:$M90)))</f>
        <v/>
      </c>
      <c r="M91" s="27"/>
      <c r="N91" s="29" t="str">
        <f aca="false">IF(OR($A91="",$K91=0),"",$M91/$K91)</f>
        <v/>
      </c>
      <c r="O91" s="27" t="str">
        <f aca="false">IF($A91="","",SUM($M$4:$M91))</f>
        <v/>
      </c>
      <c r="P91" s="25"/>
    </row>
    <row r="92" customFormat="false" ht="15" hidden="false" customHeight="false" outlineLevel="0" collapsed="false">
      <c r="A92" s="30"/>
      <c r="B92" s="16" t="str">
        <f aca="false">IF($A92="","",TEXT($A92,"YYYY-MM"))</f>
        <v/>
      </c>
      <c r="C92" s="31"/>
      <c r="D92" s="31"/>
      <c r="E92" s="31"/>
      <c r="F92" s="31"/>
      <c r="G92" s="32"/>
      <c r="H92" s="32"/>
      <c r="I92" s="32"/>
      <c r="J92" s="31"/>
      <c r="K92" s="22"/>
      <c r="L92" s="20" t="str">
        <f aca="false">IF($A92="","",$K92/(Settings!$B$4+Settings!$B$5+SUM($M$3:$M91)))</f>
        <v/>
      </c>
      <c r="M92" s="22"/>
      <c r="N92" s="21" t="str">
        <f aca="false">IF(OR($A92="",$K92=0),"",$M92/$K92)</f>
        <v/>
      </c>
      <c r="O92" s="22" t="str">
        <f aca="false">IF($A92="","",SUM($M$4:$M92))</f>
        <v/>
      </c>
      <c r="P92" s="31"/>
    </row>
    <row r="93" customFormat="false" ht="15" hidden="false" customHeight="false" outlineLevel="0" collapsed="false">
      <c r="A93" s="23"/>
      <c r="B93" s="24" t="str">
        <f aca="false">IF($A93="","",TEXT($A93,"YYYY-MM"))</f>
        <v/>
      </c>
      <c r="C93" s="25"/>
      <c r="D93" s="25"/>
      <c r="E93" s="25"/>
      <c r="F93" s="25"/>
      <c r="G93" s="26"/>
      <c r="H93" s="26"/>
      <c r="I93" s="26"/>
      <c r="J93" s="25"/>
      <c r="K93" s="27"/>
      <c r="L93" s="28" t="str">
        <f aca="false">IF($A93="","",$K93/(Settings!$B$4+Settings!$B$5+SUM($M$3:$M92)))</f>
        <v/>
      </c>
      <c r="M93" s="27"/>
      <c r="N93" s="29" t="str">
        <f aca="false">IF(OR($A93="",$K93=0),"",$M93/$K93)</f>
        <v/>
      </c>
      <c r="O93" s="27" t="str">
        <f aca="false">IF($A93="","",SUM($M$4:$M93))</f>
        <v/>
      </c>
      <c r="P93" s="25"/>
    </row>
    <row r="94" customFormat="false" ht="15" hidden="false" customHeight="false" outlineLevel="0" collapsed="false">
      <c r="A94" s="30"/>
      <c r="B94" s="16" t="str">
        <f aca="false">IF($A94="","",TEXT($A94,"YYYY-MM"))</f>
        <v/>
      </c>
      <c r="C94" s="31"/>
      <c r="D94" s="31"/>
      <c r="E94" s="31"/>
      <c r="F94" s="31"/>
      <c r="G94" s="32"/>
      <c r="H94" s="32"/>
      <c r="I94" s="32"/>
      <c r="J94" s="31"/>
      <c r="K94" s="22"/>
      <c r="L94" s="20" t="str">
        <f aca="false">IF($A94="","",$K94/(Settings!$B$4+Settings!$B$5+SUM($M$3:$M93)))</f>
        <v/>
      </c>
      <c r="M94" s="22"/>
      <c r="N94" s="21" t="str">
        <f aca="false">IF(OR($A94="",$K94=0),"",$M94/$K94)</f>
        <v/>
      </c>
      <c r="O94" s="22" t="str">
        <f aca="false">IF($A94="","",SUM($M$4:$M94))</f>
        <v/>
      </c>
      <c r="P94" s="31"/>
    </row>
    <row r="95" customFormat="false" ht="15" hidden="false" customHeight="false" outlineLevel="0" collapsed="false">
      <c r="A95" s="23"/>
      <c r="B95" s="24" t="str">
        <f aca="false">IF($A95="","",TEXT($A95,"YYYY-MM"))</f>
        <v/>
      </c>
      <c r="C95" s="25"/>
      <c r="D95" s="25"/>
      <c r="E95" s="25"/>
      <c r="F95" s="25"/>
      <c r="G95" s="26"/>
      <c r="H95" s="26"/>
      <c r="I95" s="26"/>
      <c r="J95" s="25"/>
      <c r="K95" s="27"/>
      <c r="L95" s="28" t="str">
        <f aca="false">IF($A95="","",$K95/(Settings!$B$4+Settings!$B$5+SUM($M$3:$M94)))</f>
        <v/>
      </c>
      <c r="M95" s="27"/>
      <c r="N95" s="29" t="str">
        <f aca="false">IF(OR($A95="",$K95=0),"",$M95/$K95)</f>
        <v/>
      </c>
      <c r="O95" s="27" t="str">
        <f aca="false">IF($A95="","",SUM($M$4:$M95))</f>
        <v/>
      </c>
      <c r="P95" s="25"/>
    </row>
    <row r="96" customFormat="false" ht="15" hidden="false" customHeight="false" outlineLevel="0" collapsed="false">
      <c r="A96" s="30"/>
      <c r="B96" s="16" t="str">
        <f aca="false">IF($A96="","",TEXT($A96,"YYYY-MM"))</f>
        <v/>
      </c>
      <c r="C96" s="31"/>
      <c r="D96" s="31"/>
      <c r="E96" s="31"/>
      <c r="F96" s="31"/>
      <c r="G96" s="32"/>
      <c r="H96" s="32"/>
      <c r="I96" s="32"/>
      <c r="J96" s="31"/>
      <c r="K96" s="22"/>
      <c r="L96" s="20" t="str">
        <f aca="false">IF($A96="","",$K96/(Settings!$B$4+Settings!$B$5+SUM($M$3:$M95)))</f>
        <v/>
      </c>
      <c r="M96" s="22"/>
      <c r="N96" s="21" t="str">
        <f aca="false">IF(OR($A96="",$K96=0),"",$M96/$K96)</f>
        <v/>
      </c>
      <c r="O96" s="22" t="str">
        <f aca="false">IF($A96="","",SUM($M$4:$M96))</f>
        <v/>
      </c>
      <c r="P96" s="31"/>
    </row>
    <row r="97" customFormat="false" ht="15" hidden="false" customHeight="false" outlineLevel="0" collapsed="false">
      <c r="A97" s="23"/>
      <c r="B97" s="24" t="str">
        <f aca="false">IF($A97="","",TEXT($A97,"YYYY-MM"))</f>
        <v/>
      </c>
      <c r="C97" s="25"/>
      <c r="D97" s="25"/>
      <c r="E97" s="25"/>
      <c r="F97" s="25"/>
      <c r="G97" s="26"/>
      <c r="H97" s="26"/>
      <c r="I97" s="26"/>
      <c r="J97" s="25"/>
      <c r="K97" s="27"/>
      <c r="L97" s="28" t="str">
        <f aca="false">IF($A97="","",$K97/(Settings!$B$4+Settings!$B$5+SUM($M$3:$M96)))</f>
        <v/>
      </c>
      <c r="M97" s="27"/>
      <c r="N97" s="29" t="str">
        <f aca="false">IF(OR($A97="",$K97=0),"",$M97/$K97)</f>
        <v/>
      </c>
      <c r="O97" s="27" t="str">
        <f aca="false">IF($A97="","",SUM($M$4:$M97))</f>
        <v/>
      </c>
      <c r="P97" s="25"/>
    </row>
    <row r="98" customFormat="false" ht="15" hidden="false" customHeight="false" outlineLevel="0" collapsed="false">
      <c r="A98" s="30"/>
      <c r="B98" s="16" t="str">
        <f aca="false">IF($A98="","",TEXT($A98,"YYYY-MM"))</f>
        <v/>
      </c>
      <c r="C98" s="31"/>
      <c r="D98" s="31"/>
      <c r="E98" s="31"/>
      <c r="F98" s="31"/>
      <c r="G98" s="32"/>
      <c r="H98" s="32"/>
      <c r="I98" s="32"/>
      <c r="J98" s="31"/>
      <c r="K98" s="22"/>
      <c r="L98" s="20" t="str">
        <f aca="false">IF($A98="","",$K98/(Settings!$B$4+Settings!$B$5+SUM($M$3:$M97)))</f>
        <v/>
      </c>
      <c r="M98" s="22"/>
      <c r="N98" s="21" t="str">
        <f aca="false">IF(OR($A98="",$K98=0),"",$M98/$K98)</f>
        <v/>
      </c>
      <c r="O98" s="22" t="str">
        <f aca="false">IF($A98="","",SUM($M$4:$M98))</f>
        <v/>
      </c>
      <c r="P98" s="31"/>
    </row>
    <row r="99" customFormat="false" ht="15" hidden="false" customHeight="false" outlineLevel="0" collapsed="false">
      <c r="A99" s="23"/>
      <c r="B99" s="24" t="str">
        <f aca="false">IF($A99="","",TEXT($A99,"YYYY-MM"))</f>
        <v/>
      </c>
      <c r="C99" s="25"/>
      <c r="D99" s="25"/>
      <c r="E99" s="25"/>
      <c r="F99" s="25"/>
      <c r="G99" s="26"/>
      <c r="H99" s="26"/>
      <c r="I99" s="26"/>
      <c r="J99" s="25"/>
      <c r="K99" s="27"/>
      <c r="L99" s="28" t="str">
        <f aca="false">IF($A99="","",$K99/(Settings!$B$4+Settings!$B$5+SUM($M$3:$M98)))</f>
        <v/>
      </c>
      <c r="M99" s="27"/>
      <c r="N99" s="29" t="str">
        <f aca="false">IF(OR($A99="",$K99=0),"",$M99/$K99)</f>
        <v/>
      </c>
      <c r="O99" s="27" t="str">
        <f aca="false">IF($A99="","",SUM($M$4:$M99))</f>
        <v/>
      </c>
      <c r="P99" s="25"/>
    </row>
    <row r="100" customFormat="false" ht="15" hidden="false" customHeight="false" outlineLevel="0" collapsed="false">
      <c r="A100" s="30"/>
      <c r="B100" s="16" t="str">
        <f aca="false">IF($A100="","",TEXT($A100,"YYYY-MM"))</f>
        <v/>
      </c>
      <c r="C100" s="31"/>
      <c r="D100" s="31"/>
      <c r="E100" s="31"/>
      <c r="F100" s="31"/>
      <c r="G100" s="32"/>
      <c r="H100" s="32"/>
      <c r="I100" s="32"/>
      <c r="J100" s="31"/>
      <c r="K100" s="22"/>
      <c r="L100" s="20" t="str">
        <f aca="false">IF($A100="","",$K100/(Settings!$B$4+Settings!$B$5+SUM($M$3:$M99)))</f>
        <v/>
      </c>
      <c r="M100" s="22"/>
      <c r="N100" s="21" t="str">
        <f aca="false">IF(OR($A100="",$K100=0),"",$M100/$K100)</f>
        <v/>
      </c>
      <c r="O100" s="22" t="str">
        <f aca="false">IF($A100="","",SUM($M$4:$M100))</f>
        <v/>
      </c>
      <c r="P100" s="31"/>
    </row>
    <row r="101" customFormat="false" ht="15" hidden="false" customHeight="false" outlineLevel="0" collapsed="false">
      <c r="A101" s="23"/>
      <c r="B101" s="24" t="str">
        <f aca="false">IF($A101="","",TEXT($A101,"YYYY-MM"))</f>
        <v/>
      </c>
      <c r="C101" s="25"/>
      <c r="D101" s="25"/>
      <c r="E101" s="25"/>
      <c r="F101" s="25"/>
      <c r="G101" s="26"/>
      <c r="H101" s="26"/>
      <c r="I101" s="26"/>
      <c r="J101" s="25"/>
      <c r="K101" s="27"/>
      <c r="L101" s="28" t="str">
        <f aca="false">IF($A101="","",$K101/(Settings!$B$4+Settings!$B$5+SUM($M$3:$M100)))</f>
        <v/>
      </c>
      <c r="M101" s="27"/>
      <c r="N101" s="29" t="str">
        <f aca="false">IF(OR($A101="",$K101=0),"",$M101/$K101)</f>
        <v/>
      </c>
      <c r="O101" s="27" t="str">
        <f aca="false">IF($A101="","",SUM($M$4:$M101))</f>
        <v/>
      </c>
      <c r="P101" s="25"/>
    </row>
    <row r="102" customFormat="false" ht="15" hidden="false" customHeight="false" outlineLevel="0" collapsed="false">
      <c r="A102" s="30"/>
      <c r="B102" s="16" t="str">
        <f aca="false">IF($A102="","",TEXT($A102,"YYYY-MM"))</f>
        <v/>
      </c>
      <c r="C102" s="31"/>
      <c r="D102" s="31"/>
      <c r="E102" s="31"/>
      <c r="F102" s="31"/>
      <c r="G102" s="32"/>
      <c r="H102" s="32"/>
      <c r="I102" s="32"/>
      <c r="J102" s="31"/>
      <c r="K102" s="22"/>
      <c r="L102" s="20" t="str">
        <f aca="false">IF($A102="","",$K102/(Settings!$B$4+Settings!$B$5+SUM($M$3:$M101)))</f>
        <v/>
      </c>
      <c r="M102" s="22"/>
      <c r="N102" s="21" t="str">
        <f aca="false">IF(OR($A102="",$K102=0),"",$M102/$K102)</f>
        <v/>
      </c>
      <c r="O102" s="22" t="str">
        <f aca="false">IF($A102="","",SUM($M$4:$M102))</f>
        <v/>
      </c>
      <c r="P102" s="31"/>
    </row>
    <row r="103" customFormat="false" ht="15" hidden="false" customHeight="false" outlineLevel="0" collapsed="false">
      <c r="A103" s="23"/>
      <c r="B103" s="24" t="str">
        <f aca="false">IF($A103="","",TEXT($A103,"YYYY-MM"))</f>
        <v/>
      </c>
      <c r="C103" s="25"/>
      <c r="D103" s="25"/>
      <c r="E103" s="25"/>
      <c r="F103" s="25"/>
      <c r="G103" s="26"/>
      <c r="H103" s="26"/>
      <c r="I103" s="26"/>
      <c r="J103" s="25"/>
      <c r="K103" s="27"/>
      <c r="L103" s="28" t="str">
        <f aca="false">IF($A103="","",$K103/(Settings!$B$4+Settings!$B$5+SUM($M$3:$M102)))</f>
        <v/>
      </c>
      <c r="M103" s="27"/>
      <c r="N103" s="29" t="str">
        <f aca="false">IF(OR($A103="",$K103=0),"",$M103/$K103)</f>
        <v/>
      </c>
      <c r="O103" s="27" t="str">
        <f aca="false">IF($A103="","",SUM($M$4:$M103))</f>
        <v/>
      </c>
      <c r="P103" s="25"/>
    </row>
    <row r="104" customFormat="false" ht="15" hidden="false" customHeight="false" outlineLevel="0" collapsed="false">
      <c r="A104" s="30"/>
      <c r="B104" s="16" t="str">
        <f aca="false">IF($A104="","",TEXT($A104,"YYYY-MM"))</f>
        <v/>
      </c>
      <c r="C104" s="31"/>
      <c r="D104" s="31"/>
      <c r="E104" s="31"/>
      <c r="F104" s="31"/>
      <c r="G104" s="32"/>
      <c r="H104" s="32"/>
      <c r="I104" s="32"/>
      <c r="J104" s="31"/>
      <c r="K104" s="22"/>
      <c r="L104" s="20" t="str">
        <f aca="false">IF($A104="","",$K104/(Settings!$B$4+Settings!$B$5+SUM($M$3:$M103)))</f>
        <v/>
      </c>
      <c r="M104" s="22"/>
      <c r="N104" s="21" t="str">
        <f aca="false">IF(OR($A104="",$K104=0),"",$M104/$K104)</f>
        <v/>
      </c>
      <c r="O104" s="22" t="str">
        <f aca="false">IF($A104="","",SUM($M$4:$M104))</f>
        <v/>
      </c>
      <c r="P104" s="31"/>
    </row>
    <row r="105" customFormat="false" ht="15" hidden="false" customHeight="false" outlineLevel="0" collapsed="false">
      <c r="A105" s="23"/>
      <c r="B105" s="24" t="str">
        <f aca="false">IF($A105="","",TEXT($A105,"YYYY-MM"))</f>
        <v/>
      </c>
      <c r="C105" s="25"/>
      <c r="D105" s="25"/>
      <c r="E105" s="25"/>
      <c r="F105" s="25"/>
      <c r="G105" s="26"/>
      <c r="H105" s="26"/>
      <c r="I105" s="26"/>
      <c r="J105" s="25"/>
      <c r="K105" s="27"/>
      <c r="L105" s="28" t="str">
        <f aca="false">IF($A105="","",$K105/(Settings!$B$4+Settings!$B$5+SUM($M$3:$M104)))</f>
        <v/>
      </c>
      <c r="M105" s="27"/>
      <c r="N105" s="29" t="str">
        <f aca="false">IF(OR($A105="",$K105=0),"",$M105/$K105)</f>
        <v/>
      </c>
      <c r="O105" s="27" t="str">
        <f aca="false">IF($A105="","",SUM($M$4:$M105))</f>
        <v/>
      </c>
      <c r="P105" s="25"/>
    </row>
    <row r="106" customFormat="false" ht="15" hidden="false" customHeight="false" outlineLevel="0" collapsed="false">
      <c r="A106" s="30"/>
      <c r="B106" s="16" t="str">
        <f aca="false">IF($A106="","",TEXT($A106,"YYYY-MM"))</f>
        <v/>
      </c>
      <c r="C106" s="31"/>
      <c r="D106" s="31"/>
      <c r="E106" s="31"/>
      <c r="F106" s="31"/>
      <c r="G106" s="32"/>
      <c r="H106" s="32"/>
      <c r="I106" s="32"/>
      <c r="J106" s="31"/>
      <c r="K106" s="22"/>
      <c r="L106" s="20" t="str">
        <f aca="false">IF($A106="","",$K106/(Settings!$B$4+Settings!$B$5+SUM($M$3:$M105)))</f>
        <v/>
      </c>
      <c r="M106" s="22"/>
      <c r="N106" s="21" t="str">
        <f aca="false">IF(OR($A106="",$K106=0),"",$M106/$K106)</f>
        <v/>
      </c>
      <c r="O106" s="22" t="str">
        <f aca="false">IF($A106="","",SUM($M$4:$M106))</f>
        <v/>
      </c>
      <c r="P106" s="31"/>
    </row>
    <row r="107" customFormat="false" ht="15" hidden="false" customHeight="false" outlineLevel="0" collapsed="false">
      <c r="A107" s="23"/>
      <c r="B107" s="24" t="str">
        <f aca="false">IF($A107="","",TEXT($A107,"YYYY-MM"))</f>
        <v/>
      </c>
      <c r="C107" s="25"/>
      <c r="D107" s="25"/>
      <c r="E107" s="25"/>
      <c r="F107" s="25"/>
      <c r="G107" s="26"/>
      <c r="H107" s="26"/>
      <c r="I107" s="26"/>
      <c r="J107" s="25"/>
      <c r="K107" s="27"/>
      <c r="L107" s="28" t="str">
        <f aca="false">IF($A107="","",$K107/(Settings!$B$4+Settings!$B$5+SUM($M$3:$M106)))</f>
        <v/>
      </c>
      <c r="M107" s="27"/>
      <c r="N107" s="29" t="str">
        <f aca="false">IF(OR($A107="",$K107=0),"",$M107/$K107)</f>
        <v/>
      </c>
      <c r="O107" s="27" t="str">
        <f aca="false">IF($A107="","",SUM($M$4:$M107))</f>
        <v/>
      </c>
      <c r="P107" s="25"/>
    </row>
    <row r="108" customFormat="false" ht="15" hidden="false" customHeight="false" outlineLevel="0" collapsed="false">
      <c r="A108" s="30"/>
      <c r="B108" s="16" t="str">
        <f aca="false">IF($A108="","",TEXT($A108,"YYYY-MM"))</f>
        <v/>
      </c>
      <c r="C108" s="31"/>
      <c r="D108" s="31"/>
      <c r="E108" s="31"/>
      <c r="F108" s="31"/>
      <c r="G108" s="32"/>
      <c r="H108" s="32"/>
      <c r="I108" s="32"/>
      <c r="J108" s="31"/>
      <c r="K108" s="22"/>
      <c r="L108" s="20" t="str">
        <f aca="false">IF($A108="","",$K108/(Settings!$B$4+Settings!$B$5+SUM($M$3:$M107)))</f>
        <v/>
      </c>
      <c r="M108" s="22"/>
      <c r="N108" s="21" t="str">
        <f aca="false">IF(OR($A108="",$K108=0),"",$M108/$K108)</f>
        <v/>
      </c>
      <c r="O108" s="22" t="str">
        <f aca="false">IF($A108="","",SUM($M$4:$M108))</f>
        <v/>
      </c>
      <c r="P108" s="31"/>
    </row>
    <row r="109" customFormat="false" ht="15" hidden="false" customHeight="false" outlineLevel="0" collapsed="false">
      <c r="A109" s="23"/>
      <c r="B109" s="24" t="str">
        <f aca="false">IF($A109="","",TEXT($A109,"YYYY-MM"))</f>
        <v/>
      </c>
      <c r="C109" s="25"/>
      <c r="D109" s="25"/>
      <c r="E109" s="25"/>
      <c r="F109" s="25"/>
      <c r="G109" s="26"/>
      <c r="H109" s="26"/>
      <c r="I109" s="26"/>
      <c r="J109" s="25"/>
      <c r="K109" s="27"/>
      <c r="L109" s="28" t="str">
        <f aca="false">IF($A109="","",$K109/(Settings!$B$4+Settings!$B$5+SUM($M$3:$M108)))</f>
        <v/>
      </c>
      <c r="M109" s="27"/>
      <c r="N109" s="29" t="str">
        <f aca="false">IF(OR($A109="",$K109=0),"",$M109/$K109)</f>
        <v/>
      </c>
      <c r="O109" s="27" t="str">
        <f aca="false">IF($A109="","",SUM($M$4:$M109))</f>
        <v/>
      </c>
      <c r="P109" s="25"/>
    </row>
    <row r="110" customFormat="false" ht="15" hidden="false" customHeight="false" outlineLevel="0" collapsed="false">
      <c r="A110" s="30"/>
      <c r="B110" s="16" t="str">
        <f aca="false">IF($A110="","",TEXT($A110,"YYYY-MM"))</f>
        <v/>
      </c>
      <c r="C110" s="31"/>
      <c r="D110" s="31"/>
      <c r="E110" s="31"/>
      <c r="F110" s="31"/>
      <c r="G110" s="32"/>
      <c r="H110" s="32"/>
      <c r="I110" s="32"/>
      <c r="J110" s="31"/>
      <c r="K110" s="22"/>
      <c r="L110" s="20" t="str">
        <f aca="false">IF($A110="","",$K110/(Settings!$B$4+Settings!$B$5+SUM($M$3:$M109)))</f>
        <v/>
      </c>
      <c r="M110" s="22"/>
      <c r="N110" s="21" t="str">
        <f aca="false">IF(OR($A110="",$K110=0),"",$M110/$K110)</f>
        <v/>
      </c>
      <c r="O110" s="22" t="str">
        <f aca="false">IF($A110="","",SUM($M$4:$M110))</f>
        <v/>
      </c>
      <c r="P110" s="31"/>
    </row>
    <row r="111" customFormat="false" ht="15" hidden="false" customHeight="false" outlineLevel="0" collapsed="false">
      <c r="A111" s="23"/>
      <c r="B111" s="24" t="str">
        <f aca="false">IF($A111="","",TEXT($A111,"YYYY-MM"))</f>
        <v/>
      </c>
      <c r="C111" s="25"/>
      <c r="D111" s="25"/>
      <c r="E111" s="25"/>
      <c r="F111" s="25"/>
      <c r="G111" s="26"/>
      <c r="H111" s="26"/>
      <c r="I111" s="26"/>
      <c r="J111" s="25"/>
      <c r="K111" s="27"/>
      <c r="L111" s="28" t="str">
        <f aca="false">IF($A111="","",$K111/(Settings!$B$4+Settings!$B$5+SUM($M$3:$M110)))</f>
        <v/>
      </c>
      <c r="M111" s="27"/>
      <c r="N111" s="29" t="str">
        <f aca="false">IF(OR($A111="",$K111=0),"",$M111/$K111)</f>
        <v/>
      </c>
      <c r="O111" s="27" t="str">
        <f aca="false">IF($A111="","",SUM($M$4:$M111))</f>
        <v/>
      </c>
      <c r="P111" s="25"/>
    </row>
    <row r="112" customFormat="false" ht="15" hidden="false" customHeight="false" outlineLevel="0" collapsed="false">
      <c r="A112" s="30"/>
      <c r="B112" s="16" t="str">
        <f aca="false">IF($A112="","",TEXT($A112,"YYYY-MM"))</f>
        <v/>
      </c>
      <c r="C112" s="31"/>
      <c r="D112" s="31"/>
      <c r="E112" s="31"/>
      <c r="F112" s="31"/>
      <c r="G112" s="32"/>
      <c r="H112" s="32"/>
      <c r="I112" s="32"/>
      <c r="J112" s="31"/>
      <c r="K112" s="22"/>
      <c r="L112" s="20" t="str">
        <f aca="false">IF($A112="","",$K112/(Settings!$B$4+Settings!$B$5+SUM($M$3:$M111)))</f>
        <v/>
      </c>
      <c r="M112" s="22"/>
      <c r="N112" s="21" t="str">
        <f aca="false">IF(OR($A112="",$K112=0),"",$M112/$K112)</f>
        <v/>
      </c>
      <c r="O112" s="22" t="str">
        <f aca="false">IF($A112="","",SUM($M$4:$M112))</f>
        <v/>
      </c>
      <c r="P112" s="31"/>
    </row>
    <row r="113" customFormat="false" ht="15" hidden="false" customHeight="false" outlineLevel="0" collapsed="false">
      <c r="A113" s="23"/>
      <c r="B113" s="24" t="str">
        <f aca="false">IF($A113="","",TEXT($A113,"YYYY-MM"))</f>
        <v/>
      </c>
      <c r="C113" s="25"/>
      <c r="D113" s="25"/>
      <c r="E113" s="25"/>
      <c r="F113" s="25"/>
      <c r="G113" s="26"/>
      <c r="H113" s="26"/>
      <c r="I113" s="26"/>
      <c r="J113" s="25"/>
      <c r="K113" s="27"/>
      <c r="L113" s="28" t="str">
        <f aca="false">IF($A113="","",$K113/(Settings!$B$4+Settings!$B$5+SUM($M$3:$M112)))</f>
        <v/>
      </c>
      <c r="M113" s="27"/>
      <c r="N113" s="29" t="str">
        <f aca="false">IF(OR($A113="",$K113=0),"",$M113/$K113)</f>
        <v/>
      </c>
      <c r="O113" s="27" t="str">
        <f aca="false">IF($A113="","",SUM($M$4:$M113))</f>
        <v/>
      </c>
      <c r="P113" s="25"/>
    </row>
    <row r="114" customFormat="false" ht="15" hidden="false" customHeight="false" outlineLevel="0" collapsed="false">
      <c r="A114" s="30"/>
      <c r="B114" s="16" t="str">
        <f aca="false">IF($A114="","",TEXT($A114,"YYYY-MM"))</f>
        <v/>
      </c>
      <c r="C114" s="31"/>
      <c r="D114" s="31"/>
      <c r="E114" s="31"/>
      <c r="F114" s="31"/>
      <c r="G114" s="32"/>
      <c r="H114" s="32"/>
      <c r="I114" s="32"/>
      <c r="J114" s="31"/>
      <c r="K114" s="22"/>
      <c r="L114" s="20" t="str">
        <f aca="false">IF($A114="","",$K114/(Settings!$B$4+Settings!$B$5+SUM($M$3:$M113)))</f>
        <v/>
      </c>
      <c r="M114" s="22"/>
      <c r="N114" s="21" t="str">
        <f aca="false">IF(OR($A114="",$K114=0),"",$M114/$K114)</f>
        <v/>
      </c>
      <c r="O114" s="22" t="str">
        <f aca="false">IF($A114="","",SUM($M$4:$M114))</f>
        <v/>
      </c>
      <c r="P114" s="31"/>
    </row>
    <row r="115" customFormat="false" ht="15" hidden="false" customHeight="false" outlineLevel="0" collapsed="false">
      <c r="A115" s="23"/>
      <c r="B115" s="24" t="str">
        <f aca="false">IF($A115="","",TEXT($A115,"YYYY-MM"))</f>
        <v/>
      </c>
      <c r="C115" s="25"/>
      <c r="D115" s="25"/>
      <c r="E115" s="25"/>
      <c r="F115" s="25"/>
      <c r="G115" s="26"/>
      <c r="H115" s="26"/>
      <c r="I115" s="26"/>
      <c r="J115" s="25"/>
      <c r="K115" s="27"/>
      <c r="L115" s="28" t="str">
        <f aca="false">IF($A115="","",$K115/(Settings!$B$4+Settings!$B$5+SUM($M$3:$M114)))</f>
        <v/>
      </c>
      <c r="M115" s="27"/>
      <c r="N115" s="29" t="str">
        <f aca="false">IF(OR($A115="",$K115=0),"",$M115/$K115)</f>
        <v/>
      </c>
      <c r="O115" s="27" t="str">
        <f aca="false">IF($A115="","",SUM($M$4:$M115))</f>
        <v/>
      </c>
      <c r="P115" s="25"/>
    </row>
    <row r="116" customFormat="false" ht="15" hidden="false" customHeight="false" outlineLevel="0" collapsed="false">
      <c r="A116" s="30"/>
      <c r="B116" s="16" t="str">
        <f aca="false">IF($A116="","",TEXT($A116,"YYYY-MM"))</f>
        <v/>
      </c>
      <c r="C116" s="31"/>
      <c r="D116" s="31"/>
      <c r="E116" s="31"/>
      <c r="F116" s="31"/>
      <c r="G116" s="32"/>
      <c r="H116" s="32"/>
      <c r="I116" s="32"/>
      <c r="J116" s="31"/>
      <c r="K116" s="22"/>
      <c r="L116" s="20" t="str">
        <f aca="false">IF($A116="","",$K116/(Settings!$B$4+Settings!$B$5+SUM($M$3:$M115)))</f>
        <v/>
      </c>
      <c r="M116" s="22"/>
      <c r="N116" s="21" t="str">
        <f aca="false">IF(OR($A116="",$K116=0),"",$M116/$K116)</f>
        <v/>
      </c>
      <c r="O116" s="22" t="str">
        <f aca="false">IF($A116="","",SUM($M$4:$M116))</f>
        <v/>
      </c>
      <c r="P116" s="31"/>
    </row>
    <row r="117" customFormat="false" ht="15" hidden="false" customHeight="false" outlineLevel="0" collapsed="false">
      <c r="A117" s="23"/>
      <c r="B117" s="24" t="str">
        <f aca="false">IF($A117="","",TEXT($A117,"YYYY-MM"))</f>
        <v/>
      </c>
      <c r="C117" s="25"/>
      <c r="D117" s="25"/>
      <c r="E117" s="25"/>
      <c r="F117" s="25"/>
      <c r="G117" s="26"/>
      <c r="H117" s="26"/>
      <c r="I117" s="26"/>
      <c r="J117" s="25"/>
      <c r="K117" s="27"/>
      <c r="L117" s="28" t="str">
        <f aca="false">IF($A117="","",$K117/(Settings!$B$4+Settings!$B$5+SUM($M$3:$M116)))</f>
        <v/>
      </c>
      <c r="M117" s="27"/>
      <c r="N117" s="29" t="str">
        <f aca="false">IF(OR($A117="",$K117=0),"",$M117/$K117)</f>
        <v/>
      </c>
      <c r="O117" s="27" t="str">
        <f aca="false">IF($A117="","",SUM($M$4:$M117))</f>
        <v/>
      </c>
      <c r="P117" s="25"/>
    </row>
    <row r="118" customFormat="false" ht="15" hidden="false" customHeight="false" outlineLevel="0" collapsed="false">
      <c r="A118" s="30"/>
      <c r="B118" s="16" t="str">
        <f aca="false">IF($A118="","",TEXT($A118,"YYYY-MM"))</f>
        <v/>
      </c>
      <c r="C118" s="31"/>
      <c r="D118" s="31"/>
      <c r="E118" s="31"/>
      <c r="F118" s="31"/>
      <c r="G118" s="32"/>
      <c r="H118" s="32"/>
      <c r="I118" s="32"/>
      <c r="J118" s="31"/>
      <c r="K118" s="22"/>
      <c r="L118" s="20" t="str">
        <f aca="false">IF($A118="","",$K118/(Settings!$B$4+Settings!$B$5+SUM($M$3:$M117)))</f>
        <v/>
      </c>
      <c r="M118" s="22"/>
      <c r="N118" s="21" t="str">
        <f aca="false">IF(OR($A118="",$K118=0),"",$M118/$K118)</f>
        <v/>
      </c>
      <c r="O118" s="22" t="str">
        <f aca="false">IF($A118="","",SUM($M$4:$M118))</f>
        <v/>
      </c>
      <c r="P118" s="31"/>
    </row>
    <row r="119" customFormat="false" ht="15" hidden="false" customHeight="false" outlineLevel="0" collapsed="false">
      <c r="A119" s="23"/>
      <c r="B119" s="24" t="str">
        <f aca="false">IF($A119="","",TEXT($A119,"YYYY-MM"))</f>
        <v/>
      </c>
      <c r="C119" s="25"/>
      <c r="D119" s="25"/>
      <c r="E119" s="25"/>
      <c r="F119" s="25"/>
      <c r="G119" s="26"/>
      <c r="H119" s="26"/>
      <c r="I119" s="26"/>
      <c r="J119" s="25"/>
      <c r="K119" s="27"/>
      <c r="L119" s="28" t="str">
        <f aca="false">IF($A119="","",$K119/(Settings!$B$4+Settings!$B$5+SUM($M$3:$M118)))</f>
        <v/>
      </c>
      <c r="M119" s="27"/>
      <c r="N119" s="29" t="str">
        <f aca="false">IF(OR($A119="",$K119=0),"",$M119/$K119)</f>
        <v/>
      </c>
      <c r="O119" s="27" t="str">
        <f aca="false">IF($A119="","",SUM($M$4:$M119))</f>
        <v/>
      </c>
      <c r="P119" s="25"/>
    </row>
    <row r="120" customFormat="false" ht="15" hidden="false" customHeight="false" outlineLevel="0" collapsed="false">
      <c r="A120" s="30"/>
      <c r="B120" s="16" t="str">
        <f aca="false">IF($A120="","",TEXT($A120,"YYYY-MM"))</f>
        <v/>
      </c>
      <c r="C120" s="31"/>
      <c r="D120" s="31"/>
      <c r="E120" s="31"/>
      <c r="F120" s="31"/>
      <c r="G120" s="32"/>
      <c r="H120" s="32"/>
      <c r="I120" s="32"/>
      <c r="J120" s="31"/>
      <c r="K120" s="22"/>
      <c r="L120" s="20" t="str">
        <f aca="false">IF($A120="","",$K120/(Settings!$B$4+Settings!$B$5+SUM($M$3:$M119)))</f>
        <v/>
      </c>
      <c r="M120" s="22"/>
      <c r="N120" s="21" t="str">
        <f aca="false">IF(OR($A120="",$K120=0),"",$M120/$K120)</f>
        <v/>
      </c>
      <c r="O120" s="22" t="str">
        <f aca="false">IF($A120="","",SUM($M$4:$M120))</f>
        <v/>
      </c>
      <c r="P120" s="31"/>
    </row>
    <row r="121" customFormat="false" ht="15" hidden="false" customHeight="false" outlineLevel="0" collapsed="false">
      <c r="A121" s="23"/>
      <c r="B121" s="24" t="str">
        <f aca="false">IF($A121="","",TEXT($A121,"YYYY-MM"))</f>
        <v/>
      </c>
      <c r="C121" s="25"/>
      <c r="D121" s="25"/>
      <c r="E121" s="25"/>
      <c r="F121" s="25"/>
      <c r="G121" s="26"/>
      <c r="H121" s="26"/>
      <c r="I121" s="26"/>
      <c r="J121" s="25"/>
      <c r="K121" s="27"/>
      <c r="L121" s="28" t="str">
        <f aca="false">IF($A121="","",$K121/(Settings!$B$4+Settings!$B$5+SUM($M$3:$M120)))</f>
        <v/>
      </c>
      <c r="M121" s="27"/>
      <c r="N121" s="29" t="str">
        <f aca="false">IF(OR($A121="",$K121=0),"",$M121/$K121)</f>
        <v/>
      </c>
      <c r="O121" s="27" t="str">
        <f aca="false">IF($A121="","",SUM($M$4:$M121))</f>
        <v/>
      </c>
      <c r="P121" s="25"/>
    </row>
    <row r="122" customFormat="false" ht="15" hidden="false" customHeight="false" outlineLevel="0" collapsed="false">
      <c r="A122" s="30"/>
      <c r="B122" s="16" t="str">
        <f aca="false">IF($A122="","",TEXT($A122,"YYYY-MM"))</f>
        <v/>
      </c>
      <c r="C122" s="31"/>
      <c r="D122" s="31"/>
      <c r="E122" s="31"/>
      <c r="F122" s="31"/>
      <c r="G122" s="32"/>
      <c r="H122" s="32"/>
      <c r="I122" s="32"/>
      <c r="J122" s="31"/>
      <c r="K122" s="22"/>
      <c r="L122" s="20" t="str">
        <f aca="false">IF($A122="","",$K122/(Settings!$B$4+Settings!$B$5+SUM($M$3:$M121)))</f>
        <v/>
      </c>
      <c r="M122" s="22"/>
      <c r="N122" s="21" t="str">
        <f aca="false">IF(OR($A122="",$K122=0),"",$M122/$K122)</f>
        <v/>
      </c>
      <c r="O122" s="22" t="str">
        <f aca="false">IF($A122="","",SUM($M$4:$M122))</f>
        <v/>
      </c>
      <c r="P122" s="31"/>
    </row>
    <row r="123" customFormat="false" ht="15" hidden="false" customHeight="false" outlineLevel="0" collapsed="false">
      <c r="A123" s="23"/>
      <c r="B123" s="24" t="str">
        <f aca="false">IF($A123="","",TEXT($A123,"YYYY-MM"))</f>
        <v/>
      </c>
      <c r="C123" s="25"/>
      <c r="D123" s="25"/>
      <c r="E123" s="25"/>
      <c r="F123" s="25"/>
      <c r="G123" s="26"/>
      <c r="H123" s="26"/>
      <c r="I123" s="26"/>
      <c r="J123" s="25"/>
      <c r="K123" s="27"/>
      <c r="L123" s="28" t="str">
        <f aca="false">IF($A123="","",$K123/(Settings!$B$4+Settings!$B$5+SUM($M$3:$M122)))</f>
        <v/>
      </c>
      <c r="M123" s="27"/>
      <c r="N123" s="29" t="str">
        <f aca="false">IF(OR($A123="",$K123=0),"",$M123/$K123)</f>
        <v/>
      </c>
      <c r="O123" s="27" t="str">
        <f aca="false">IF($A123="","",SUM($M$4:$M123))</f>
        <v/>
      </c>
      <c r="P123" s="25"/>
    </row>
    <row r="124" customFormat="false" ht="15" hidden="false" customHeight="false" outlineLevel="0" collapsed="false">
      <c r="A124" s="30"/>
      <c r="B124" s="16" t="str">
        <f aca="false">IF($A124="","",TEXT($A124,"YYYY-MM"))</f>
        <v/>
      </c>
      <c r="C124" s="31"/>
      <c r="D124" s="31"/>
      <c r="E124" s="31"/>
      <c r="F124" s="31"/>
      <c r="G124" s="32"/>
      <c r="H124" s="32"/>
      <c r="I124" s="32"/>
      <c r="J124" s="31"/>
      <c r="K124" s="22"/>
      <c r="L124" s="20" t="str">
        <f aca="false">IF($A124="","",$K124/(Settings!$B$4+Settings!$B$5+SUM($M$3:$M123)))</f>
        <v/>
      </c>
      <c r="M124" s="22"/>
      <c r="N124" s="21" t="str">
        <f aca="false">IF(OR($A124="",$K124=0),"",$M124/$K124)</f>
        <v/>
      </c>
      <c r="O124" s="22" t="str">
        <f aca="false">IF($A124="","",SUM($M$4:$M124))</f>
        <v/>
      </c>
      <c r="P124" s="31"/>
    </row>
    <row r="125" customFormat="false" ht="15" hidden="false" customHeight="false" outlineLevel="0" collapsed="false">
      <c r="A125" s="23"/>
      <c r="B125" s="24" t="str">
        <f aca="false">IF($A125="","",TEXT($A125,"YYYY-MM"))</f>
        <v/>
      </c>
      <c r="C125" s="25"/>
      <c r="D125" s="25"/>
      <c r="E125" s="25"/>
      <c r="F125" s="25"/>
      <c r="G125" s="26"/>
      <c r="H125" s="26"/>
      <c r="I125" s="26"/>
      <c r="J125" s="25"/>
      <c r="K125" s="27"/>
      <c r="L125" s="28" t="str">
        <f aca="false">IF($A125="","",$K125/(Settings!$B$4+Settings!$B$5+SUM($M$3:$M124)))</f>
        <v/>
      </c>
      <c r="M125" s="27"/>
      <c r="N125" s="29" t="str">
        <f aca="false">IF(OR($A125="",$K125=0),"",$M125/$K125)</f>
        <v/>
      </c>
      <c r="O125" s="27" t="str">
        <f aca="false">IF($A125="","",SUM($M$4:$M125))</f>
        <v/>
      </c>
      <c r="P125" s="25"/>
    </row>
    <row r="126" customFormat="false" ht="15" hidden="false" customHeight="false" outlineLevel="0" collapsed="false">
      <c r="A126" s="30"/>
      <c r="B126" s="16" t="str">
        <f aca="false">IF($A126="","",TEXT($A126,"YYYY-MM"))</f>
        <v/>
      </c>
      <c r="C126" s="31"/>
      <c r="D126" s="31"/>
      <c r="E126" s="31"/>
      <c r="F126" s="31"/>
      <c r="G126" s="32"/>
      <c r="H126" s="32"/>
      <c r="I126" s="32"/>
      <c r="J126" s="31"/>
      <c r="K126" s="22"/>
      <c r="L126" s="20" t="str">
        <f aca="false">IF($A126="","",$K126/(Settings!$B$4+Settings!$B$5+SUM($M$3:$M125)))</f>
        <v/>
      </c>
      <c r="M126" s="22"/>
      <c r="N126" s="21" t="str">
        <f aca="false">IF(OR($A126="",$K126=0),"",$M126/$K126)</f>
        <v/>
      </c>
      <c r="O126" s="22" t="str">
        <f aca="false">IF($A126="","",SUM($M$4:$M126))</f>
        <v/>
      </c>
      <c r="P126" s="31"/>
    </row>
    <row r="127" customFormat="false" ht="15" hidden="false" customHeight="false" outlineLevel="0" collapsed="false">
      <c r="A127" s="23"/>
      <c r="B127" s="24" t="str">
        <f aca="false">IF($A127="","",TEXT($A127,"YYYY-MM"))</f>
        <v/>
      </c>
      <c r="C127" s="25"/>
      <c r="D127" s="25"/>
      <c r="E127" s="25"/>
      <c r="F127" s="25"/>
      <c r="G127" s="26"/>
      <c r="H127" s="26"/>
      <c r="I127" s="26"/>
      <c r="J127" s="25"/>
      <c r="K127" s="27"/>
      <c r="L127" s="28" t="str">
        <f aca="false">IF($A127="","",$K127/(Settings!$B$4+Settings!$B$5+SUM($M$3:$M126)))</f>
        <v/>
      </c>
      <c r="M127" s="27"/>
      <c r="N127" s="29" t="str">
        <f aca="false">IF(OR($A127="",$K127=0),"",$M127/$K127)</f>
        <v/>
      </c>
      <c r="O127" s="27" t="str">
        <f aca="false">IF($A127="","",SUM($M$4:$M127))</f>
        <v/>
      </c>
      <c r="P127" s="25"/>
    </row>
    <row r="128" customFormat="false" ht="15" hidden="false" customHeight="false" outlineLevel="0" collapsed="false">
      <c r="A128" s="30"/>
      <c r="B128" s="16" t="str">
        <f aca="false">IF($A128="","",TEXT($A128,"YYYY-MM"))</f>
        <v/>
      </c>
      <c r="C128" s="31"/>
      <c r="D128" s="31"/>
      <c r="E128" s="31"/>
      <c r="F128" s="31"/>
      <c r="G128" s="32"/>
      <c r="H128" s="32"/>
      <c r="I128" s="32"/>
      <c r="J128" s="31"/>
      <c r="K128" s="22"/>
      <c r="L128" s="20" t="str">
        <f aca="false">IF($A128="","",$K128/(Settings!$B$4+Settings!$B$5+SUM($M$3:$M127)))</f>
        <v/>
      </c>
      <c r="M128" s="22"/>
      <c r="N128" s="21" t="str">
        <f aca="false">IF(OR($A128="",$K128=0),"",$M128/$K128)</f>
        <v/>
      </c>
      <c r="O128" s="22" t="str">
        <f aca="false">IF($A128="","",SUM($M$4:$M128))</f>
        <v/>
      </c>
      <c r="P128" s="31"/>
    </row>
    <row r="129" customFormat="false" ht="15" hidden="false" customHeight="false" outlineLevel="0" collapsed="false">
      <c r="A129" s="23"/>
      <c r="B129" s="24" t="str">
        <f aca="false">IF($A129="","",TEXT($A129,"YYYY-MM"))</f>
        <v/>
      </c>
      <c r="C129" s="25"/>
      <c r="D129" s="25"/>
      <c r="E129" s="25"/>
      <c r="F129" s="25"/>
      <c r="G129" s="26"/>
      <c r="H129" s="26"/>
      <c r="I129" s="26"/>
      <c r="J129" s="25"/>
      <c r="K129" s="27"/>
      <c r="L129" s="28" t="str">
        <f aca="false">IF($A129="","",$K129/(Settings!$B$4+Settings!$B$5+SUM($M$3:$M128)))</f>
        <v/>
      </c>
      <c r="M129" s="27"/>
      <c r="N129" s="29" t="str">
        <f aca="false">IF(OR($A129="",$K129=0),"",$M129/$K129)</f>
        <v/>
      </c>
      <c r="O129" s="27" t="str">
        <f aca="false">IF($A129="","",SUM($M$4:$M129))</f>
        <v/>
      </c>
      <c r="P129" s="25"/>
    </row>
    <row r="130" customFormat="false" ht="15" hidden="false" customHeight="false" outlineLevel="0" collapsed="false">
      <c r="A130" s="30"/>
      <c r="B130" s="16" t="str">
        <f aca="false">IF($A130="","",TEXT($A130,"YYYY-MM"))</f>
        <v/>
      </c>
      <c r="C130" s="31"/>
      <c r="D130" s="31"/>
      <c r="E130" s="31"/>
      <c r="F130" s="31"/>
      <c r="G130" s="32"/>
      <c r="H130" s="32"/>
      <c r="I130" s="32"/>
      <c r="J130" s="31"/>
      <c r="K130" s="22"/>
      <c r="L130" s="20" t="str">
        <f aca="false">IF($A130="","",$K130/(Settings!$B$4+Settings!$B$5+SUM($M$3:$M129)))</f>
        <v/>
      </c>
      <c r="M130" s="22"/>
      <c r="N130" s="21" t="str">
        <f aca="false">IF(OR($A130="",$K130=0),"",$M130/$K130)</f>
        <v/>
      </c>
      <c r="O130" s="22" t="str">
        <f aca="false">IF($A130="","",SUM($M$4:$M130))</f>
        <v/>
      </c>
      <c r="P130" s="31"/>
    </row>
    <row r="131" customFormat="false" ht="15" hidden="false" customHeight="false" outlineLevel="0" collapsed="false">
      <c r="A131" s="23"/>
      <c r="B131" s="24" t="str">
        <f aca="false">IF($A131="","",TEXT($A131,"YYYY-MM"))</f>
        <v/>
      </c>
      <c r="C131" s="25"/>
      <c r="D131" s="25"/>
      <c r="E131" s="25"/>
      <c r="F131" s="25"/>
      <c r="G131" s="26"/>
      <c r="H131" s="26"/>
      <c r="I131" s="26"/>
      <c r="J131" s="25"/>
      <c r="K131" s="27"/>
      <c r="L131" s="28" t="str">
        <f aca="false">IF($A131="","",$K131/(Settings!$B$4+Settings!$B$5+SUM($M$3:$M130)))</f>
        <v/>
      </c>
      <c r="M131" s="27"/>
      <c r="N131" s="29" t="str">
        <f aca="false">IF(OR($A131="",$K131=0),"",$M131/$K131)</f>
        <v/>
      </c>
      <c r="O131" s="27" t="str">
        <f aca="false">IF($A131="","",SUM($M$4:$M131))</f>
        <v/>
      </c>
      <c r="P131" s="25"/>
    </row>
    <row r="132" customFormat="false" ht="15" hidden="false" customHeight="false" outlineLevel="0" collapsed="false">
      <c r="A132" s="30"/>
      <c r="B132" s="16" t="str">
        <f aca="false">IF($A132="","",TEXT($A132,"YYYY-MM"))</f>
        <v/>
      </c>
      <c r="C132" s="31"/>
      <c r="D132" s="31"/>
      <c r="E132" s="31"/>
      <c r="F132" s="31"/>
      <c r="G132" s="32"/>
      <c r="H132" s="32"/>
      <c r="I132" s="32"/>
      <c r="J132" s="31"/>
      <c r="K132" s="22"/>
      <c r="L132" s="20" t="str">
        <f aca="false">IF($A132="","",$K132/(Settings!$B$4+Settings!$B$5+SUM($M$3:$M131)))</f>
        <v/>
      </c>
      <c r="M132" s="22"/>
      <c r="N132" s="21" t="str">
        <f aca="false">IF(OR($A132="",$K132=0),"",$M132/$K132)</f>
        <v/>
      </c>
      <c r="O132" s="22" t="str">
        <f aca="false">IF($A132="","",SUM($M$4:$M132))</f>
        <v/>
      </c>
      <c r="P132" s="31"/>
    </row>
    <row r="133" customFormat="false" ht="15" hidden="false" customHeight="false" outlineLevel="0" collapsed="false">
      <c r="A133" s="23"/>
      <c r="B133" s="24" t="str">
        <f aca="false">IF($A133="","",TEXT($A133,"YYYY-MM"))</f>
        <v/>
      </c>
      <c r="C133" s="25"/>
      <c r="D133" s="25"/>
      <c r="E133" s="25"/>
      <c r="F133" s="25"/>
      <c r="G133" s="26"/>
      <c r="H133" s="26"/>
      <c r="I133" s="26"/>
      <c r="J133" s="25"/>
      <c r="K133" s="27"/>
      <c r="L133" s="28" t="str">
        <f aca="false">IF($A133="","",$K133/(Settings!$B$4+Settings!$B$5+SUM($M$3:$M132)))</f>
        <v/>
      </c>
      <c r="M133" s="27"/>
      <c r="N133" s="29" t="str">
        <f aca="false">IF(OR($A133="",$K133=0),"",$M133/$K133)</f>
        <v/>
      </c>
      <c r="O133" s="27" t="str">
        <f aca="false">IF($A133="","",SUM($M$4:$M133))</f>
        <v/>
      </c>
      <c r="P133" s="25"/>
    </row>
    <row r="134" customFormat="false" ht="15" hidden="false" customHeight="false" outlineLevel="0" collapsed="false">
      <c r="A134" s="30"/>
      <c r="B134" s="16" t="str">
        <f aca="false">IF($A134="","",TEXT($A134,"YYYY-MM"))</f>
        <v/>
      </c>
      <c r="C134" s="31"/>
      <c r="D134" s="31"/>
      <c r="E134" s="31"/>
      <c r="F134" s="31"/>
      <c r="G134" s="32"/>
      <c r="H134" s="32"/>
      <c r="I134" s="32"/>
      <c r="J134" s="31"/>
      <c r="K134" s="22"/>
      <c r="L134" s="20" t="str">
        <f aca="false">IF($A134="","",$K134/(Settings!$B$4+Settings!$B$5+SUM($M$3:$M133)))</f>
        <v/>
      </c>
      <c r="M134" s="22"/>
      <c r="N134" s="21" t="str">
        <f aca="false">IF(OR($A134="",$K134=0),"",$M134/$K134)</f>
        <v/>
      </c>
      <c r="O134" s="22" t="str">
        <f aca="false">IF($A134="","",SUM($M$4:$M134))</f>
        <v/>
      </c>
      <c r="P134" s="31"/>
    </row>
    <row r="135" customFormat="false" ht="15" hidden="false" customHeight="false" outlineLevel="0" collapsed="false">
      <c r="A135" s="23"/>
      <c r="B135" s="24" t="str">
        <f aca="false">IF($A135="","",TEXT($A135,"YYYY-MM"))</f>
        <v/>
      </c>
      <c r="C135" s="25"/>
      <c r="D135" s="25"/>
      <c r="E135" s="25"/>
      <c r="F135" s="25"/>
      <c r="G135" s="26"/>
      <c r="H135" s="26"/>
      <c r="I135" s="26"/>
      <c r="J135" s="25"/>
      <c r="K135" s="27"/>
      <c r="L135" s="28" t="str">
        <f aca="false">IF($A135="","",$K135/(Settings!$B$4+Settings!$B$5+SUM($M$3:$M134)))</f>
        <v/>
      </c>
      <c r="M135" s="27"/>
      <c r="N135" s="29" t="str">
        <f aca="false">IF(OR($A135="",$K135=0),"",$M135/$K135)</f>
        <v/>
      </c>
      <c r="O135" s="27" t="str">
        <f aca="false">IF($A135="","",SUM($M$4:$M135))</f>
        <v/>
      </c>
      <c r="P135" s="25"/>
    </row>
    <row r="136" customFormat="false" ht="15" hidden="false" customHeight="false" outlineLevel="0" collapsed="false">
      <c r="A136" s="30"/>
      <c r="B136" s="16" t="str">
        <f aca="false">IF($A136="","",TEXT($A136,"YYYY-MM"))</f>
        <v/>
      </c>
      <c r="C136" s="31"/>
      <c r="D136" s="31"/>
      <c r="E136" s="31"/>
      <c r="F136" s="31"/>
      <c r="G136" s="32"/>
      <c r="H136" s="32"/>
      <c r="I136" s="32"/>
      <c r="J136" s="31"/>
      <c r="K136" s="22"/>
      <c r="L136" s="20" t="str">
        <f aca="false">IF($A136="","",$K136/(Settings!$B$4+Settings!$B$5+SUM($M$3:$M135)))</f>
        <v/>
      </c>
      <c r="M136" s="22"/>
      <c r="N136" s="21" t="str">
        <f aca="false">IF(OR($A136="",$K136=0),"",$M136/$K136)</f>
        <v/>
      </c>
      <c r="O136" s="22" t="str">
        <f aca="false">IF($A136="","",SUM($M$4:$M136))</f>
        <v/>
      </c>
      <c r="P136" s="31"/>
    </row>
    <row r="137" customFormat="false" ht="15" hidden="false" customHeight="false" outlineLevel="0" collapsed="false">
      <c r="A137" s="23"/>
      <c r="B137" s="24" t="str">
        <f aca="false">IF($A137="","",TEXT($A137,"YYYY-MM"))</f>
        <v/>
      </c>
      <c r="C137" s="25"/>
      <c r="D137" s="25"/>
      <c r="E137" s="25"/>
      <c r="F137" s="25"/>
      <c r="G137" s="26"/>
      <c r="H137" s="26"/>
      <c r="I137" s="26"/>
      <c r="J137" s="25"/>
      <c r="K137" s="27"/>
      <c r="L137" s="28" t="str">
        <f aca="false">IF($A137="","",$K137/(Settings!$B$4+Settings!$B$5+SUM($M$3:$M136)))</f>
        <v/>
      </c>
      <c r="M137" s="27"/>
      <c r="N137" s="29" t="str">
        <f aca="false">IF(OR($A137="",$K137=0),"",$M137/$K137)</f>
        <v/>
      </c>
      <c r="O137" s="27" t="str">
        <f aca="false">IF($A137="","",SUM($M$4:$M137))</f>
        <v/>
      </c>
      <c r="P137" s="25"/>
    </row>
    <row r="138" customFormat="false" ht="15" hidden="false" customHeight="false" outlineLevel="0" collapsed="false">
      <c r="A138" s="30"/>
      <c r="B138" s="16" t="str">
        <f aca="false">IF($A138="","",TEXT($A138,"YYYY-MM"))</f>
        <v/>
      </c>
      <c r="C138" s="31"/>
      <c r="D138" s="31"/>
      <c r="E138" s="31"/>
      <c r="F138" s="31"/>
      <c r="G138" s="32"/>
      <c r="H138" s="32"/>
      <c r="I138" s="32"/>
      <c r="J138" s="31"/>
      <c r="K138" s="22"/>
      <c r="L138" s="20" t="str">
        <f aca="false">IF($A138="","",$K138/(Settings!$B$4+Settings!$B$5+SUM($M$3:$M137)))</f>
        <v/>
      </c>
      <c r="M138" s="22"/>
      <c r="N138" s="21" t="str">
        <f aca="false">IF(OR($A138="",$K138=0),"",$M138/$K138)</f>
        <v/>
      </c>
      <c r="O138" s="22" t="str">
        <f aca="false">IF($A138="","",SUM($M$4:$M138))</f>
        <v/>
      </c>
      <c r="P138" s="31"/>
    </row>
    <row r="139" customFormat="false" ht="15" hidden="false" customHeight="false" outlineLevel="0" collapsed="false">
      <c r="A139" s="23"/>
      <c r="B139" s="24" t="str">
        <f aca="false">IF($A139="","",TEXT($A139,"YYYY-MM"))</f>
        <v/>
      </c>
      <c r="C139" s="25"/>
      <c r="D139" s="25"/>
      <c r="E139" s="25"/>
      <c r="F139" s="25"/>
      <c r="G139" s="26"/>
      <c r="H139" s="26"/>
      <c r="I139" s="26"/>
      <c r="J139" s="25"/>
      <c r="K139" s="27"/>
      <c r="L139" s="28" t="str">
        <f aca="false">IF($A139="","",$K139/(Settings!$B$4+Settings!$B$5+SUM($M$3:$M138)))</f>
        <v/>
      </c>
      <c r="M139" s="27"/>
      <c r="N139" s="29" t="str">
        <f aca="false">IF(OR($A139="",$K139=0),"",$M139/$K139)</f>
        <v/>
      </c>
      <c r="O139" s="27" t="str">
        <f aca="false">IF($A139="","",SUM($M$4:$M139))</f>
        <v/>
      </c>
      <c r="P139" s="25"/>
    </row>
    <row r="140" customFormat="false" ht="15" hidden="false" customHeight="false" outlineLevel="0" collapsed="false">
      <c r="A140" s="30"/>
      <c r="B140" s="16" t="str">
        <f aca="false">IF($A140="","",TEXT($A140,"YYYY-MM"))</f>
        <v/>
      </c>
      <c r="C140" s="31"/>
      <c r="D140" s="31"/>
      <c r="E140" s="31"/>
      <c r="F140" s="31"/>
      <c r="G140" s="32"/>
      <c r="H140" s="32"/>
      <c r="I140" s="32"/>
      <c r="J140" s="31"/>
      <c r="K140" s="22"/>
      <c r="L140" s="20" t="str">
        <f aca="false">IF($A140="","",$K140/(Settings!$B$4+Settings!$B$5+SUM($M$3:$M139)))</f>
        <v/>
      </c>
      <c r="M140" s="22"/>
      <c r="N140" s="21" t="str">
        <f aca="false">IF(OR($A140="",$K140=0),"",$M140/$K140)</f>
        <v/>
      </c>
      <c r="O140" s="22" t="str">
        <f aca="false">IF($A140="","",SUM($M$4:$M140))</f>
        <v/>
      </c>
      <c r="P140" s="31"/>
    </row>
    <row r="141" customFormat="false" ht="15" hidden="false" customHeight="false" outlineLevel="0" collapsed="false">
      <c r="A141" s="23"/>
      <c r="B141" s="24" t="str">
        <f aca="false">IF($A141="","",TEXT($A141,"YYYY-MM"))</f>
        <v/>
      </c>
      <c r="C141" s="25"/>
      <c r="D141" s="25"/>
      <c r="E141" s="25"/>
      <c r="F141" s="25"/>
      <c r="G141" s="26"/>
      <c r="H141" s="26"/>
      <c r="I141" s="26"/>
      <c r="J141" s="25"/>
      <c r="K141" s="27"/>
      <c r="L141" s="28" t="str">
        <f aca="false">IF($A141="","",$K141/(Settings!$B$4+Settings!$B$5+SUM($M$3:$M140)))</f>
        <v/>
      </c>
      <c r="M141" s="27"/>
      <c r="N141" s="29" t="str">
        <f aca="false">IF(OR($A141="",$K141=0),"",$M141/$K141)</f>
        <v/>
      </c>
      <c r="O141" s="27" t="str">
        <f aca="false">IF($A141="","",SUM($M$4:$M141))</f>
        <v/>
      </c>
      <c r="P141" s="25"/>
    </row>
    <row r="142" customFormat="false" ht="15" hidden="false" customHeight="false" outlineLevel="0" collapsed="false">
      <c r="A142" s="30"/>
      <c r="B142" s="16" t="str">
        <f aca="false">IF($A142="","",TEXT($A142,"YYYY-MM"))</f>
        <v/>
      </c>
      <c r="C142" s="31"/>
      <c r="D142" s="31"/>
      <c r="E142" s="31"/>
      <c r="F142" s="31"/>
      <c r="G142" s="32"/>
      <c r="H142" s="32"/>
      <c r="I142" s="32"/>
      <c r="J142" s="31"/>
      <c r="K142" s="22"/>
      <c r="L142" s="20" t="str">
        <f aca="false">IF($A142="","",$K142/(Settings!$B$4+Settings!$B$5+SUM($M$3:$M141)))</f>
        <v/>
      </c>
      <c r="M142" s="22"/>
      <c r="N142" s="21" t="str">
        <f aca="false">IF(OR($A142="",$K142=0),"",$M142/$K142)</f>
        <v/>
      </c>
      <c r="O142" s="22" t="str">
        <f aca="false">IF($A142="","",SUM($M$4:$M142))</f>
        <v/>
      </c>
      <c r="P142" s="31"/>
    </row>
    <row r="143" customFormat="false" ht="15" hidden="false" customHeight="false" outlineLevel="0" collapsed="false">
      <c r="A143" s="23"/>
      <c r="B143" s="24" t="str">
        <f aca="false">IF($A143="","",TEXT($A143,"YYYY-MM"))</f>
        <v/>
      </c>
      <c r="C143" s="25"/>
      <c r="D143" s="25"/>
      <c r="E143" s="25"/>
      <c r="F143" s="25"/>
      <c r="G143" s="26"/>
      <c r="H143" s="26"/>
      <c r="I143" s="26"/>
      <c r="J143" s="25"/>
      <c r="K143" s="27"/>
      <c r="L143" s="28" t="str">
        <f aca="false">IF($A143="","",$K143/(Settings!$B$4+Settings!$B$5+SUM($M$3:$M142)))</f>
        <v/>
      </c>
      <c r="M143" s="27"/>
      <c r="N143" s="29" t="str">
        <f aca="false">IF(OR($A143="",$K143=0),"",$M143/$K143)</f>
        <v/>
      </c>
      <c r="O143" s="27" t="str">
        <f aca="false">IF($A143="","",SUM($M$4:$M143))</f>
        <v/>
      </c>
      <c r="P143" s="25"/>
    </row>
    <row r="144" customFormat="false" ht="15" hidden="false" customHeight="false" outlineLevel="0" collapsed="false">
      <c r="A144" s="30"/>
      <c r="B144" s="16" t="str">
        <f aca="false">IF($A144="","",TEXT($A144,"YYYY-MM"))</f>
        <v/>
      </c>
      <c r="C144" s="31"/>
      <c r="D144" s="31"/>
      <c r="E144" s="31"/>
      <c r="F144" s="31"/>
      <c r="G144" s="32"/>
      <c r="H144" s="32"/>
      <c r="I144" s="32"/>
      <c r="J144" s="31"/>
      <c r="K144" s="22"/>
      <c r="L144" s="20" t="str">
        <f aca="false">IF($A144="","",$K144/(Settings!$B$4+Settings!$B$5+SUM($M$3:$M143)))</f>
        <v/>
      </c>
      <c r="M144" s="22"/>
      <c r="N144" s="21" t="str">
        <f aca="false">IF(OR($A144="",$K144=0),"",$M144/$K144)</f>
        <v/>
      </c>
      <c r="O144" s="22" t="str">
        <f aca="false">IF($A144="","",SUM($M$4:$M144))</f>
        <v/>
      </c>
      <c r="P144" s="31"/>
    </row>
    <row r="145" customFormat="false" ht="15" hidden="false" customHeight="false" outlineLevel="0" collapsed="false">
      <c r="A145" s="23"/>
      <c r="B145" s="24" t="str">
        <f aca="false">IF($A145="","",TEXT($A145,"YYYY-MM"))</f>
        <v/>
      </c>
      <c r="C145" s="25"/>
      <c r="D145" s="25"/>
      <c r="E145" s="25"/>
      <c r="F145" s="25"/>
      <c r="G145" s="26"/>
      <c r="H145" s="26"/>
      <c r="I145" s="26"/>
      <c r="J145" s="25"/>
      <c r="K145" s="27"/>
      <c r="L145" s="28" t="str">
        <f aca="false">IF($A145="","",$K145/(Settings!$B$4+Settings!$B$5+SUM($M$3:$M144)))</f>
        <v/>
      </c>
      <c r="M145" s="27"/>
      <c r="N145" s="29" t="str">
        <f aca="false">IF(OR($A145="",$K145=0),"",$M145/$K145)</f>
        <v/>
      </c>
      <c r="O145" s="27" t="str">
        <f aca="false">IF($A145="","",SUM($M$4:$M145))</f>
        <v/>
      </c>
      <c r="P145" s="25"/>
    </row>
    <row r="146" customFormat="false" ht="15" hidden="false" customHeight="false" outlineLevel="0" collapsed="false">
      <c r="A146" s="30"/>
      <c r="B146" s="16" t="str">
        <f aca="false">IF($A146="","",TEXT($A146,"YYYY-MM"))</f>
        <v/>
      </c>
      <c r="C146" s="31"/>
      <c r="D146" s="31"/>
      <c r="E146" s="31"/>
      <c r="F146" s="31"/>
      <c r="G146" s="32"/>
      <c r="H146" s="32"/>
      <c r="I146" s="32"/>
      <c r="J146" s="31"/>
      <c r="K146" s="22"/>
      <c r="L146" s="20" t="str">
        <f aca="false">IF($A146="","",$K146/(Settings!$B$4+Settings!$B$5+SUM($M$3:$M145)))</f>
        <v/>
      </c>
      <c r="M146" s="22"/>
      <c r="N146" s="21" t="str">
        <f aca="false">IF(OR($A146="",$K146=0),"",$M146/$K146)</f>
        <v/>
      </c>
      <c r="O146" s="22" t="str">
        <f aca="false">IF($A146="","",SUM($M$4:$M146))</f>
        <v/>
      </c>
      <c r="P146" s="31"/>
    </row>
    <row r="147" customFormat="false" ht="15" hidden="false" customHeight="false" outlineLevel="0" collapsed="false">
      <c r="A147" s="23"/>
      <c r="B147" s="24" t="str">
        <f aca="false">IF($A147="","",TEXT($A147,"YYYY-MM"))</f>
        <v/>
      </c>
      <c r="C147" s="25"/>
      <c r="D147" s="25"/>
      <c r="E147" s="25"/>
      <c r="F147" s="25"/>
      <c r="G147" s="26"/>
      <c r="H147" s="26"/>
      <c r="I147" s="26"/>
      <c r="J147" s="25"/>
      <c r="K147" s="27"/>
      <c r="L147" s="28" t="str">
        <f aca="false">IF($A147="","",$K147/(Settings!$B$4+Settings!$B$5+SUM($M$3:$M146)))</f>
        <v/>
      </c>
      <c r="M147" s="27"/>
      <c r="N147" s="29" t="str">
        <f aca="false">IF(OR($A147="",$K147=0),"",$M147/$K147)</f>
        <v/>
      </c>
      <c r="O147" s="27" t="str">
        <f aca="false">IF($A147="","",SUM($M$4:$M147))</f>
        <v/>
      </c>
      <c r="P147" s="25"/>
    </row>
    <row r="148" customFormat="false" ht="15" hidden="false" customHeight="false" outlineLevel="0" collapsed="false">
      <c r="A148" s="30"/>
      <c r="B148" s="16" t="str">
        <f aca="false">IF($A148="","",TEXT($A148,"YYYY-MM"))</f>
        <v/>
      </c>
      <c r="C148" s="31"/>
      <c r="D148" s="31"/>
      <c r="E148" s="31"/>
      <c r="F148" s="31"/>
      <c r="G148" s="32"/>
      <c r="H148" s="32"/>
      <c r="I148" s="32"/>
      <c r="J148" s="31"/>
      <c r="K148" s="22"/>
      <c r="L148" s="20" t="str">
        <f aca="false">IF($A148="","",$K148/(Settings!$B$4+Settings!$B$5+SUM($M$3:$M147)))</f>
        <v/>
      </c>
      <c r="M148" s="22"/>
      <c r="N148" s="21" t="str">
        <f aca="false">IF(OR($A148="",$K148=0),"",$M148/$K148)</f>
        <v/>
      </c>
      <c r="O148" s="22" t="str">
        <f aca="false">IF($A148="","",SUM($M$4:$M148))</f>
        <v/>
      </c>
      <c r="P148" s="31"/>
    </row>
    <row r="149" customFormat="false" ht="15" hidden="false" customHeight="false" outlineLevel="0" collapsed="false">
      <c r="A149" s="23"/>
      <c r="B149" s="24" t="str">
        <f aca="false">IF($A149="","",TEXT($A149,"YYYY-MM"))</f>
        <v/>
      </c>
      <c r="C149" s="25"/>
      <c r="D149" s="25"/>
      <c r="E149" s="25"/>
      <c r="F149" s="25"/>
      <c r="G149" s="26"/>
      <c r="H149" s="26"/>
      <c r="I149" s="26"/>
      <c r="J149" s="25"/>
      <c r="K149" s="27"/>
      <c r="L149" s="28" t="str">
        <f aca="false">IF($A149="","",$K149/(Settings!$B$4+Settings!$B$5+SUM($M$3:$M148)))</f>
        <v/>
      </c>
      <c r="M149" s="27"/>
      <c r="N149" s="29" t="str">
        <f aca="false">IF(OR($A149="",$K149=0),"",$M149/$K149)</f>
        <v/>
      </c>
      <c r="O149" s="27" t="str">
        <f aca="false">IF($A149="","",SUM($M$4:$M149))</f>
        <v/>
      </c>
      <c r="P149" s="25"/>
    </row>
    <row r="150" customFormat="false" ht="15" hidden="false" customHeight="false" outlineLevel="0" collapsed="false">
      <c r="A150" s="30"/>
      <c r="B150" s="16" t="str">
        <f aca="false">IF($A150="","",TEXT($A150,"YYYY-MM"))</f>
        <v/>
      </c>
      <c r="C150" s="31"/>
      <c r="D150" s="31"/>
      <c r="E150" s="31"/>
      <c r="F150" s="31"/>
      <c r="G150" s="32"/>
      <c r="H150" s="32"/>
      <c r="I150" s="32"/>
      <c r="J150" s="31"/>
      <c r="K150" s="22"/>
      <c r="L150" s="20" t="str">
        <f aca="false">IF($A150="","",$K150/(Settings!$B$4+Settings!$B$5+SUM($M$3:$M149)))</f>
        <v/>
      </c>
      <c r="M150" s="22"/>
      <c r="N150" s="21" t="str">
        <f aca="false">IF(OR($A150="",$K150=0),"",$M150/$K150)</f>
        <v/>
      </c>
      <c r="O150" s="22" t="str">
        <f aca="false">IF($A150="","",SUM($M$4:$M150))</f>
        <v/>
      </c>
      <c r="P150" s="31"/>
    </row>
    <row r="151" customFormat="false" ht="15" hidden="false" customHeight="false" outlineLevel="0" collapsed="false">
      <c r="A151" s="23"/>
      <c r="B151" s="24" t="str">
        <f aca="false">IF($A151="","",TEXT($A151,"YYYY-MM"))</f>
        <v/>
      </c>
      <c r="C151" s="25"/>
      <c r="D151" s="25"/>
      <c r="E151" s="25"/>
      <c r="F151" s="25"/>
      <c r="G151" s="26"/>
      <c r="H151" s="26"/>
      <c r="I151" s="26"/>
      <c r="J151" s="25"/>
      <c r="K151" s="27"/>
      <c r="L151" s="28" t="str">
        <f aca="false">IF($A151="","",$K151/(Settings!$B$4+Settings!$B$5+SUM($M$3:$M150)))</f>
        <v/>
      </c>
      <c r="M151" s="27"/>
      <c r="N151" s="29" t="str">
        <f aca="false">IF(OR($A151="",$K151=0),"",$M151/$K151)</f>
        <v/>
      </c>
      <c r="O151" s="27" t="str">
        <f aca="false">IF($A151="","",SUM($M$4:$M151))</f>
        <v/>
      </c>
      <c r="P151" s="25"/>
    </row>
    <row r="152" customFormat="false" ht="15" hidden="false" customHeight="false" outlineLevel="0" collapsed="false">
      <c r="A152" s="30"/>
      <c r="B152" s="16" t="str">
        <f aca="false">IF($A152="","",TEXT($A152,"YYYY-MM"))</f>
        <v/>
      </c>
      <c r="C152" s="31"/>
      <c r="D152" s="31"/>
      <c r="E152" s="31"/>
      <c r="F152" s="31"/>
      <c r="G152" s="32"/>
      <c r="H152" s="32"/>
      <c r="I152" s="32"/>
      <c r="J152" s="31"/>
      <c r="K152" s="22"/>
      <c r="L152" s="20" t="str">
        <f aca="false">IF($A152="","",$K152/(Settings!$B$4+Settings!$B$5+SUM($M$3:$M151)))</f>
        <v/>
      </c>
      <c r="M152" s="22"/>
      <c r="N152" s="21" t="str">
        <f aca="false">IF(OR($A152="",$K152=0),"",$M152/$K152)</f>
        <v/>
      </c>
      <c r="O152" s="22" t="str">
        <f aca="false">IF($A152="","",SUM($M$4:$M152))</f>
        <v/>
      </c>
      <c r="P152" s="31"/>
    </row>
    <row r="153" customFormat="false" ht="15" hidden="false" customHeight="false" outlineLevel="0" collapsed="false">
      <c r="A153" s="23"/>
      <c r="B153" s="24" t="str">
        <f aca="false">IF($A153="","",TEXT($A153,"YYYY-MM"))</f>
        <v/>
      </c>
      <c r="C153" s="25"/>
      <c r="D153" s="25"/>
      <c r="E153" s="25"/>
      <c r="F153" s="25"/>
      <c r="G153" s="26"/>
      <c r="H153" s="26"/>
      <c r="I153" s="26"/>
      <c r="J153" s="25"/>
      <c r="K153" s="27"/>
      <c r="L153" s="28" t="str">
        <f aca="false">IF($A153="","",$K153/(Settings!$B$4+Settings!$B$5+SUM($M$3:$M152)))</f>
        <v/>
      </c>
      <c r="M153" s="27"/>
      <c r="N153" s="29" t="str">
        <f aca="false">IF(OR($A153="",$K153=0),"",$M153/$K153)</f>
        <v/>
      </c>
      <c r="O153" s="27" t="str">
        <f aca="false">IF($A153="","",SUM($M$4:$M153))</f>
        <v/>
      </c>
      <c r="P153" s="25"/>
    </row>
    <row r="154" customFormat="false" ht="15" hidden="false" customHeight="false" outlineLevel="0" collapsed="false">
      <c r="A154" s="30"/>
      <c r="B154" s="16" t="str">
        <f aca="false">IF($A154="","",TEXT($A154,"YYYY-MM"))</f>
        <v/>
      </c>
      <c r="C154" s="31"/>
      <c r="D154" s="31"/>
      <c r="E154" s="31"/>
      <c r="F154" s="31"/>
      <c r="G154" s="32"/>
      <c r="H154" s="32"/>
      <c r="I154" s="32"/>
      <c r="J154" s="31"/>
      <c r="K154" s="22"/>
      <c r="L154" s="20" t="str">
        <f aca="false">IF($A154="","",$K154/(Settings!$B$4+Settings!$B$5+SUM($M$3:$M153)))</f>
        <v/>
      </c>
      <c r="M154" s="22"/>
      <c r="N154" s="21" t="str">
        <f aca="false">IF(OR($A154="",$K154=0),"",$M154/$K154)</f>
        <v/>
      </c>
      <c r="O154" s="22" t="str">
        <f aca="false">IF($A154="","",SUM($M$4:$M154))</f>
        <v/>
      </c>
      <c r="P154" s="31"/>
    </row>
    <row r="155" customFormat="false" ht="15" hidden="false" customHeight="false" outlineLevel="0" collapsed="false">
      <c r="A155" s="23"/>
      <c r="B155" s="24" t="str">
        <f aca="false">IF($A155="","",TEXT($A155,"YYYY-MM"))</f>
        <v/>
      </c>
      <c r="C155" s="25"/>
      <c r="D155" s="25"/>
      <c r="E155" s="25"/>
      <c r="F155" s="25"/>
      <c r="G155" s="26"/>
      <c r="H155" s="26"/>
      <c r="I155" s="26"/>
      <c r="J155" s="25"/>
      <c r="K155" s="27"/>
      <c r="L155" s="28" t="str">
        <f aca="false">IF($A155="","",$K155/(Settings!$B$4+Settings!$B$5+SUM($M$3:$M154)))</f>
        <v/>
      </c>
      <c r="M155" s="27"/>
      <c r="N155" s="29" t="str">
        <f aca="false">IF(OR($A155="",$K155=0),"",$M155/$K155)</f>
        <v/>
      </c>
      <c r="O155" s="27" t="str">
        <f aca="false">IF($A155="","",SUM($M$4:$M155))</f>
        <v/>
      </c>
      <c r="P155" s="25"/>
    </row>
    <row r="156" customFormat="false" ht="15" hidden="false" customHeight="false" outlineLevel="0" collapsed="false">
      <c r="A156" s="30"/>
      <c r="B156" s="16" t="str">
        <f aca="false">IF($A156="","",TEXT($A156,"YYYY-MM"))</f>
        <v/>
      </c>
      <c r="C156" s="31"/>
      <c r="D156" s="31"/>
      <c r="E156" s="31"/>
      <c r="F156" s="31"/>
      <c r="G156" s="32"/>
      <c r="H156" s="32"/>
      <c r="I156" s="32"/>
      <c r="J156" s="31"/>
      <c r="K156" s="22"/>
      <c r="L156" s="20" t="str">
        <f aca="false">IF($A156="","",$K156/(Settings!$B$4+Settings!$B$5+SUM($M$3:$M155)))</f>
        <v/>
      </c>
      <c r="M156" s="22"/>
      <c r="N156" s="21" t="str">
        <f aca="false">IF(OR($A156="",$K156=0),"",$M156/$K156)</f>
        <v/>
      </c>
      <c r="O156" s="22" t="str">
        <f aca="false">IF($A156="","",SUM($M$4:$M156))</f>
        <v/>
      </c>
      <c r="P156" s="31"/>
    </row>
    <row r="157" customFormat="false" ht="15" hidden="false" customHeight="false" outlineLevel="0" collapsed="false">
      <c r="A157" s="23"/>
      <c r="B157" s="24" t="str">
        <f aca="false">IF($A157="","",TEXT($A157,"YYYY-MM"))</f>
        <v/>
      </c>
      <c r="C157" s="25"/>
      <c r="D157" s="25"/>
      <c r="E157" s="25"/>
      <c r="F157" s="25"/>
      <c r="G157" s="26"/>
      <c r="H157" s="26"/>
      <c r="I157" s="26"/>
      <c r="J157" s="25"/>
      <c r="K157" s="27"/>
      <c r="L157" s="28" t="str">
        <f aca="false">IF($A157="","",$K157/(Settings!$B$4+Settings!$B$5+SUM($M$3:$M156)))</f>
        <v/>
      </c>
      <c r="M157" s="27"/>
      <c r="N157" s="29" t="str">
        <f aca="false">IF(OR($A157="",$K157=0),"",$M157/$K157)</f>
        <v/>
      </c>
      <c r="O157" s="27" t="str">
        <f aca="false">IF($A157="","",SUM($M$4:$M157))</f>
        <v/>
      </c>
      <c r="P157" s="25"/>
    </row>
    <row r="158" customFormat="false" ht="15" hidden="false" customHeight="false" outlineLevel="0" collapsed="false">
      <c r="A158" s="30"/>
      <c r="B158" s="16" t="str">
        <f aca="false">IF($A158="","",TEXT($A158,"YYYY-MM"))</f>
        <v/>
      </c>
      <c r="C158" s="31"/>
      <c r="D158" s="31"/>
      <c r="E158" s="31"/>
      <c r="F158" s="31"/>
      <c r="G158" s="32"/>
      <c r="H158" s="32"/>
      <c r="I158" s="32"/>
      <c r="J158" s="31"/>
      <c r="K158" s="22"/>
      <c r="L158" s="20" t="str">
        <f aca="false">IF($A158="","",$K158/(Settings!$B$4+Settings!$B$5+SUM($M$3:$M157)))</f>
        <v/>
      </c>
      <c r="M158" s="22"/>
      <c r="N158" s="21" t="str">
        <f aca="false">IF(OR($A158="",$K158=0),"",$M158/$K158)</f>
        <v/>
      </c>
      <c r="O158" s="22" t="str">
        <f aca="false">IF($A158="","",SUM($M$4:$M158))</f>
        <v/>
      </c>
      <c r="P158" s="31"/>
    </row>
    <row r="159" customFormat="false" ht="15" hidden="false" customHeight="false" outlineLevel="0" collapsed="false">
      <c r="A159" s="23"/>
      <c r="B159" s="24" t="str">
        <f aca="false">IF($A159="","",TEXT($A159,"YYYY-MM"))</f>
        <v/>
      </c>
      <c r="C159" s="25"/>
      <c r="D159" s="25"/>
      <c r="E159" s="25"/>
      <c r="F159" s="25"/>
      <c r="G159" s="26"/>
      <c r="H159" s="26"/>
      <c r="I159" s="26"/>
      <c r="J159" s="25"/>
      <c r="K159" s="27"/>
      <c r="L159" s="28" t="str">
        <f aca="false">IF($A159="","",$K159/(Settings!$B$4+Settings!$B$5+SUM($M$3:$M158)))</f>
        <v/>
      </c>
      <c r="M159" s="27"/>
      <c r="N159" s="29" t="str">
        <f aca="false">IF(OR($A159="",$K159=0),"",$M159/$K159)</f>
        <v/>
      </c>
      <c r="O159" s="27" t="str">
        <f aca="false">IF($A159="","",SUM($M$4:$M159))</f>
        <v/>
      </c>
      <c r="P159" s="25"/>
    </row>
    <row r="160" customFormat="false" ht="15" hidden="false" customHeight="false" outlineLevel="0" collapsed="false">
      <c r="A160" s="30"/>
      <c r="B160" s="16" t="str">
        <f aca="false">IF($A160="","",TEXT($A160,"YYYY-MM"))</f>
        <v/>
      </c>
      <c r="C160" s="31"/>
      <c r="D160" s="31"/>
      <c r="E160" s="31"/>
      <c r="F160" s="31"/>
      <c r="G160" s="32"/>
      <c r="H160" s="32"/>
      <c r="I160" s="32"/>
      <c r="J160" s="31"/>
      <c r="K160" s="22"/>
      <c r="L160" s="20" t="str">
        <f aca="false">IF($A160="","",$K160/(Settings!$B$4+Settings!$B$5+SUM($M$3:$M159)))</f>
        <v/>
      </c>
      <c r="M160" s="22"/>
      <c r="N160" s="21" t="str">
        <f aca="false">IF(OR($A160="",$K160=0),"",$M160/$K160)</f>
        <v/>
      </c>
      <c r="O160" s="22" t="str">
        <f aca="false">IF($A160="","",SUM($M$4:$M160))</f>
        <v/>
      </c>
      <c r="P160" s="31"/>
    </row>
    <row r="161" customFormat="false" ht="15" hidden="false" customHeight="false" outlineLevel="0" collapsed="false">
      <c r="A161" s="23"/>
      <c r="B161" s="24" t="str">
        <f aca="false">IF($A161="","",TEXT($A161,"YYYY-MM"))</f>
        <v/>
      </c>
      <c r="C161" s="25"/>
      <c r="D161" s="25"/>
      <c r="E161" s="25"/>
      <c r="F161" s="25"/>
      <c r="G161" s="26"/>
      <c r="H161" s="26"/>
      <c r="I161" s="26"/>
      <c r="J161" s="25"/>
      <c r="K161" s="27"/>
      <c r="L161" s="28" t="str">
        <f aca="false">IF($A161="","",$K161/(Settings!$B$4+Settings!$B$5+SUM($M$3:$M160)))</f>
        <v/>
      </c>
      <c r="M161" s="27"/>
      <c r="N161" s="29" t="str">
        <f aca="false">IF(OR($A161="",$K161=0),"",$M161/$K161)</f>
        <v/>
      </c>
      <c r="O161" s="27" t="str">
        <f aca="false">IF($A161="","",SUM($M$4:$M161))</f>
        <v/>
      </c>
      <c r="P161" s="25"/>
    </row>
    <row r="162" customFormat="false" ht="15" hidden="false" customHeight="false" outlineLevel="0" collapsed="false">
      <c r="A162" s="30"/>
      <c r="B162" s="16" t="str">
        <f aca="false">IF($A162="","",TEXT($A162,"YYYY-MM"))</f>
        <v/>
      </c>
      <c r="C162" s="31"/>
      <c r="D162" s="31"/>
      <c r="E162" s="31"/>
      <c r="F162" s="31"/>
      <c r="G162" s="32"/>
      <c r="H162" s="32"/>
      <c r="I162" s="32"/>
      <c r="J162" s="31"/>
      <c r="K162" s="22"/>
      <c r="L162" s="20" t="str">
        <f aca="false">IF($A162="","",$K162/(Settings!$B$4+Settings!$B$5+SUM($M$3:$M161)))</f>
        <v/>
      </c>
      <c r="M162" s="22"/>
      <c r="N162" s="21" t="str">
        <f aca="false">IF(OR($A162="",$K162=0),"",$M162/$K162)</f>
        <v/>
      </c>
      <c r="O162" s="22" t="str">
        <f aca="false">IF($A162="","",SUM($M$4:$M162))</f>
        <v/>
      </c>
      <c r="P162" s="31"/>
    </row>
    <row r="163" customFormat="false" ht="15" hidden="false" customHeight="false" outlineLevel="0" collapsed="false">
      <c r="A163" s="23"/>
      <c r="B163" s="24" t="str">
        <f aca="false">IF($A163="","",TEXT($A163,"YYYY-MM"))</f>
        <v/>
      </c>
      <c r="C163" s="25"/>
      <c r="D163" s="25"/>
      <c r="E163" s="25"/>
      <c r="F163" s="25"/>
      <c r="G163" s="26"/>
      <c r="H163" s="26"/>
      <c r="I163" s="26"/>
      <c r="J163" s="25"/>
      <c r="K163" s="27"/>
      <c r="L163" s="28" t="str">
        <f aca="false">IF($A163="","",$K163/(Settings!$B$4+Settings!$B$5+SUM($M$3:$M162)))</f>
        <v/>
      </c>
      <c r="M163" s="27"/>
      <c r="N163" s="29" t="str">
        <f aca="false">IF(OR($A163="",$K163=0),"",$M163/$K163)</f>
        <v/>
      </c>
      <c r="O163" s="27" t="str">
        <f aca="false">IF($A163="","",SUM($M$4:$M163))</f>
        <v/>
      </c>
      <c r="P163" s="25"/>
    </row>
    <row r="164" customFormat="false" ht="15" hidden="false" customHeight="false" outlineLevel="0" collapsed="false">
      <c r="A164" s="30"/>
      <c r="B164" s="16" t="str">
        <f aca="false">IF($A164="","",TEXT($A164,"YYYY-MM"))</f>
        <v/>
      </c>
      <c r="C164" s="31"/>
      <c r="D164" s="31"/>
      <c r="E164" s="31"/>
      <c r="F164" s="31"/>
      <c r="G164" s="32"/>
      <c r="H164" s="32"/>
      <c r="I164" s="32"/>
      <c r="J164" s="31"/>
      <c r="K164" s="22"/>
      <c r="L164" s="20" t="str">
        <f aca="false">IF($A164="","",$K164/(Settings!$B$4+Settings!$B$5+SUM($M$3:$M163)))</f>
        <v/>
      </c>
      <c r="M164" s="22"/>
      <c r="N164" s="21" t="str">
        <f aca="false">IF(OR($A164="",$K164=0),"",$M164/$K164)</f>
        <v/>
      </c>
      <c r="O164" s="22" t="str">
        <f aca="false">IF($A164="","",SUM($M$4:$M164))</f>
        <v/>
      </c>
      <c r="P164" s="31"/>
    </row>
    <row r="165" customFormat="false" ht="15" hidden="false" customHeight="false" outlineLevel="0" collapsed="false">
      <c r="A165" s="23"/>
      <c r="B165" s="24" t="str">
        <f aca="false">IF($A165="","",TEXT($A165,"YYYY-MM"))</f>
        <v/>
      </c>
      <c r="C165" s="25"/>
      <c r="D165" s="25"/>
      <c r="E165" s="25"/>
      <c r="F165" s="25"/>
      <c r="G165" s="26"/>
      <c r="H165" s="26"/>
      <c r="I165" s="26"/>
      <c r="J165" s="25"/>
      <c r="K165" s="27"/>
      <c r="L165" s="28" t="str">
        <f aca="false">IF($A165="","",$K165/(Settings!$B$4+Settings!$B$5+SUM($M$3:$M164)))</f>
        <v/>
      </c>
      <c r="M165" s="27"/>
      <c r="N165" s="29" t="str">
        <f aca="false">IF(OR($A165="",$K165=0),"",$M165/$K165)</f>
        <v/>
      </c>
      <c r="O165" s="27" t="str">
        <f aca="false">IF($A165="","",SUM($M$4:$M165))</f>
        <v/>
      </c>
      <c r="P165" s="25"/>
    </row>
    <row r="166" customFormat="false" ht="15" hidden="false" customHeight="false" outlineLevel="0" collapsed="false">
      <c r="A166" s="30"/>
      <c r="B166" s="16" t="str">
        <f aca="false">IF($A166="","",TEXT($A166,"YYYY-MM"))</f>
        <v/>
      </c>
      <c r="C166" s="31"/>
      <c r="D166" s="31"/>
      <c r="E166" s="31"/>
      <c r="F166" s="31"/>
      <c r="G166" s="32"/>
      <c r="H166" s="32"/>
      <c r="I166" s="32"/>
      <c r="J166" s="31"/>
      <c r="K166" s="22"/>
      <c r="L166" s="20" t="str">
        <f aca="false">IF($A166="","",$K166/(Settings!$B$4+Settings!$B$5+SUM($M$3:$M165)))</f>
        <v/>
      </c>
      <c r="M166" s="22"/>
      <c r="N166" s="21" t="str">
        <f aca="false">IF(OR($A166="",$K166=0),"",$M166/$K166)</f>
        <v/>
      </c>
      <c r="O166" s="22" t="str">
        <f aca="false">IF($A166="","",SUM($M$4:$M166))</f>
        <v/>
      </c>
      <c r="P166" s="31"/>
    </row>
    <row r="167" customFormat="false" ht="15" hidden="false" customHeight="false" outlineLevel="0" collapsed="false">
      <c r="A167" s="23"/>
      <c r="B167" s="24" t="str">
        <f aca="false">IF($A167="","",TEXT($A167,"YYYY-MM"))</f>
        <v/>
      </c>
      <c r="C167" s="25"/>
      <c r="D167" s="25"/>
      <c r="E167" s="25"/>
      <c r="F167" s="25"/>
      <c r="G167" s="26"/>
      <c r="H167" s="26"/>
      <c r="I167" s="26"/>
      <c r="J167" s="25"/>
      <c r="K167" s="27"/>
      <c r="L167" s="28" t="str">
        <f aca="false">IF($A167="","",$K167/(Settings!$B$4+Settings!$B$5+SUM($M$3:$M166)))</f>
        <v/>
      </c>
      <c r="M167" s="27"/>
      <c r="N167" s="29" t="str">
        <f aca="false">IF(OR($A167="",$K167=0),"",$M167/$K167)</f>
        <v/>
      </c>
      <c r="O167" s="27" t="str">
        <f aca="false">IF($A167="","",SUM($M$4:$M167))</f>
        <v/>
      </c>
      <c r="P167" s="25"/>
    </row>
    <row r="168" customFormat="false" ht="15" hidden="false" customHeight="false" outlineLevel="0" collapsed="false">
      <c r="A168" s="30"/>
      <c r="B168" s="16" t="str">
        <f aca="false">IF($A168="","",TEXT($A168,"YYYY-MM"))</f>
        <v/>
      </c>
      <c r="C168" s="31"/>
      <c r="D168" s="31"/>
      <c r="E168" s="31"/>
      <c r="F168" s="31"/>
      <c r="G168" s="32"/>
      <c r="H168" s="32"/>
      <c r="I168" s="32"/>
      <c r="J168" s="31"/>
      <c r="K168" s="22"/>
      <c r="L168" s="20" t="str">
        <f aca="false">IF($A168="","",$K168/(Settings!$B$4+Settings!$B$5+SUM($M$3:$M167)))</f>
        <v/>
      </c>
      <c r="M168" s="22"/>
      <c r="N168" s="21" t="str">
        <f aca="false">IF(OR($A168="",$K168=0),"",$M168/$K168)</f>
        <v/>
      </c>
      <c r="O168" s="22" t="str">
        <f aca="false">IF($A168="","",SUM($M$4:$M168))</f>
        <v/>
      </c>
      <c r="P168" s="31"/>
    </row>
    <row r="169" customFormat="false" ht="15" hidden="false" customHeight="false" outlineLevel="0" collapsed="false">
      <c r="A169" s="23"/>
      <c r="B169" s="24" t="str">
        <f aca="false">IF($A169="","",TEXT($A169,"YYYY-MM"))</f>
        <v/>
      </c>
      <c r="C169" s="25"/>
      <c r="D169" s="25"/>
      <c r="E169" s="25"/>
      <c r="F169" s="25"/>
      <c r="G169" s="26"/>
      <c r="H169" s="26"/>
      <c r="I169" s="26"/>
      <c r="J169" s="25"/>
      <c r="K169" s="27"/>
      <c r="L169" s="28" t="str">
        <f aca="false">IF($A169="","",$K169/(Settings!$B$4+Settings!$B$5+SUM($M$3:$M168)))</f>
        <v/>
      </c>
      <c r="M169" s="27"/>
      <c r="N169" s="29" t="str">
        <f aca="false">IF(OR($A169="",$K169=0),"",$M169/$K169)</f>
        <v/>
      </c>
      <c r="O169" s="27" t="str">
        <f aca="false">IF($A169="","",SUM($M$4:$M169))</f>
        <v/>
      </c>
      <c r="P169" s="25"/>
    </row>
    <row r="170" customFormat="false" ht="15" hidden="false" customHeight="false" outlineLevel="0" collapsed="false">
      <c r="A170" s="30"/>
      <c r="B170" s="16" t="str">
        <f aca="false">IF($A170="","",TEXT($A170,"YYYY-MM"))</f>
        <v/>
      </c>
      <c r="C170" s="31"/>
      <c r="D170" s="31"/>
      <c r="E170" s="31"/>
      <c r="F170" s="31"/>
      <c r="G170" s="32"/>
      <c r="H170" s="32"/>
      <c r="I170" s="32"/>
      <c r="J170" s="31"/>
      <c r="K170" s="22"/>
      <c r="L170" s="20" t="str">
        <f aca="false">IF($A170="","",$K170/(Settings!$B$4+Settings!$B$5+SUM($M$3:$M169)))</f>
        <v/>
      </c>
      <c r="M170" s="22"/>
      <c r="N170" s="21" t="str">
        <f aca="false">IF(OR($A170="",$K170=0),"",$M170/$K170)</f>
        <v/>
      </c>
      <c r="O170" s="22" t="str">
        <f aca="false">IF($A170="","",SUM($M$4:$M170))</f>
        <v/>
      </c>
      <c r="P170" s="31"/>
    </row>
    <row r="171" customFormat="false" ht="15" hidden="false" customHeight="false" outlineLevel="0" collapsed="false">
      <c r="A171" s="23"/>
      <c r="B171" s="24" t="str">
        <f aca="false">IF($A171="","",TEXT($A171,"YYYY-MM"))</f>
        <v/>
      </c>
      <c r="C171" s="25"/>
      <c r="D171" s="25"/>
      <c r="E171" s="25"/>
      <c r="F171" s="25"/>
      <c r="G171" s="26"/>
      <c r="H171" s="26"/>
      <c r="I171" s="26"/>
      <c r="J171" s="25"/>
      <c r="K171" s="27"/>
      <c r="L171" s="28" t="str">
        <f aca="false">IF($A171="","",$K171/(Settings!$B$4+Settings!$B$5+SUM($M$3:$M170)))</f>
        <v/>
      </c>
      <c r="M171" s="27"/>
      <c r="N171" s="29" t="str">
        <f aca="false">IF(OR($A171="",$K171=0),"",$M171/$K171)</f>
        <v/>
      </c>
      <c r="O171" s="27" t="str">
        <f aca="false">IF($A171="","",SUM($M$4:$M171))</f>
        <v/>
      </c>
      <c r="P171" s="25"/>
    </row>
    <row r="172" customFormat="false" ht="15" hidden="false" customHeight="false" outlineLevel="0" collapsed="false">
      <c r="A172" s="30"/>
      <c r="B172" s="16" t="str">
        <f aca="false">IF($A172="","",TEXT($A172,"YYYY-MM"))</f>
        <v/>
      </c>
      <c r="C172" s="31"/>
      <c r="D172" s="31"/>
      <c r="E172" s="31"/>
      <c r="F172" s="31"/>
      <c r="G172" s="32"/>
      <c r="H172" s="32"/>
      <c r="I172" s="32"/>
      <c r="J172" s="31"/>
      <c r="K172" s="22"/>
      <c r="L172" s="20" t="str">
        <f aca="false">IF($A172="","",$K172/(Settings!$B$4+Settings!$B$5+SUM($M$3:$M171)))</f>
        <v/>
      </c>
      <c r="M172" s="22"/>
      <c r="N172" s="21" t="str">
        <f aca="false">IF(OR($A172="",$K172=0),"",$M172/$K172)</f>
        <v/>
      </c>
      <c r="O172" s="22" t="str">
        <f aca="false">IF($A172="","",SUM($M$4:$M172))</f>
        <v/>
      </c>
      <c r="P172" s="31"/>
    </row>
    <row r="173" customFormat="false" ht="15" hidden="false" customHeight="false" outlineLevel="0" collapsed="false">
      <c r="A173" s="23"/>
      <c r="B173" s="24" t="str">
        <f aca="false">IF($A173="","",TEXT($A173,"YYYY-MM"))</f>
        <v/>
      </c>
      <c r="C173" s="25"/>
      <c r="D173" s="25"/>
      <c r="E173" s="25"/>
      <c r="F173" s="25"/>
      <c r="G173" s="26"/>
      <c r="H173" s="26"/>
      <c r="I173" s="26"/>
      <c r="J173" s="25"/>
      <c r="K173" s="27"/>
      <c r="L173" s="28" t="str">
        <f aca="false">IF($A173="","",$K173/(Settings!$B$4+Settings!$B$5+SUM($M$3:$M172)))</f>
        <v/>
      </c>
      <c r="M173" s="27"/>
      <c r="N173" s="29" t="str">
        <f aca="false">IF(OR($A173="",$K173=0),"",$M173/$K173)</f>
        <v/>
      </c>
      <c r="O173" s="27" t="str">
        <f aca="false">IF($A173="","",SUM($M$4:$M173))</f>
        <v/>
      </c>
      <c r="P173" s="25"/>
    </row>
    <row r="174" customFormat="false" ht="15" hidden="false" customHeight="false" outlineLevel="0" collapsed="false">
      <c r="A174" s="30"/>
      <c r="B174" s="16" t="str">
        <f aca="false">IF($A174="","",TEXT($A174,"YYYY-MM"))</f>
        <v/>
      </c>
      <c r="C174" s="31"/>
      <c r="D174" s="31"/>
      <c r="E174" s="31"/>
      <c r="F174" s="31"/>
      <c r="G174" s="32"/>
      <c r="H174" s="32"/>
      <c r="I174" s="32"/>
      <c r="J174" s="31"/>
      <c r="K174" s="22"/>
      <c r="L174" s="20" t="str">
        <f aca="false">IF($A174="","",$K174/(Settings!$B$4+Settings!$B$5+SUM($M$3:$M173)))</f>
        <v/>
      </c>
      <c r="M174" s="22"/>
      <c r="N174" s="21" t="str">
        <f aca="false">IF(OR($A174="",$K174=0),"",$M174/$K174)</f>
        <v/>
      </c>
      <c r="O174" s="22" t="str">
        <f aca="false">IF($A174="","",SUM($M$4:$M174))</f>
        <v/>
      </c>
      <c r="P174" s="31"/>
    </row>
    <row r="175" customFormat="false" ht="15" hidden="false" customHeight="false" outlineLevel="0" collapsed="false">
      <c r="A175" s="23"/>
      <c r="B175" s="24" t="str">
        <f aca="false">IF($A175="","",TEXT($A175,"YYYY-MM"))</f>
        <v/>
      </c>
      <c r="C175" s="25"/>
      <c r="D175" s="25"/>
      <c r="E175" s="25"/>
      <c r="F175" s="25"/>
      <c r="G175" s="26"/>
      <c r="H175" s="26"/>
      <c r="I175" s="26"/>
      <c r="J175" s="25"/>
      <c r="K175" s="27"/>
      <c r="L175" s="28" t="str">
        <f aca="false">IF($A175="","",$K175/(Settings!$B$4+Settings!$B$5+SUM($M$3:$M174)))</f>
        <v/>
      </c>
      <c r="M175" s="27"/>
      <c r="N175" s="29" t="str">
        <f aca="false">IF(OR($A175="",$K175=0),"",$M175/$K175)</f>
        <v/>
      </c>
      <c r="O175" s="27" t="str">
        <f aca="false">IF($A175="","",SUM($M$4:$M175))</f>
        <v/>
      </c>
      <c r="P175" s="25"/>
    </row>
    <row r="176" customFormat="false" ht="15" hidden="false" customHeight="false" outlineLevel="0" collapsed="false">
      <c r="A176" s="30"/>
      <c r="B176" s="16" t="str">
        <f aca="false">IF($A176="","",TEXT($A176,"YYYY-MM"))</f>
        <v/>
      </c>
      <c r="C176" s="31"/>
      <c r="D176" s="31"/>
      <c r="E176" s="31"/>
      <c r="F176" s="31"/>
      <c r="G176" s="32"/>
      <c r="H176" s="32"/>
      <c r="I176" s="32"/>
      <c r="J176" s="31"/>
      <c r="K176" s="22"/>
      <c r="L176" s="20" t="str">
        <f aca="false">IF($A176="","",$K176/(Settings!$B$4+Settings!$B$5+SUM($M$3:$M175)))</f>
        <v/>
      </c>
      <c r="M176" s="22"/>
      <c r="N176" s="21" t="str">
        <f aca="false">IF(OR($A176="",$K176=0),"",$M176/$K176)</f>
        <v/>
      </c>
      <c r="O176" s="22" t="str">
        <f aca="false">IF($A176="","",SUM($M$4:$M176))</f>
        <v/>
      </c>
      <c r="P176" s="31"/>
    </row>
    <row r="177" customFormat="false" ht="15" hidden="false" customHeight="false" outlineLevel="0" collapsed="false">
      <c r="A177" s="23"/>
      <c r="B177" s="24" t="str">
        <f aca="false">IF($A177="","",TEXT($A177,"YYYY-MM"))</f>
        <v/>
      </c>
      <c r="C177" s="25"/>
      <c r="D177" s="25"/>
      <c r="E177" s="25"/>
      <c r="F177" s="25"/>
      <c r="G177" s="26"/>
      <c r="H177" s="26"/>
      <c r="I177" s="26"/>
      <c r="J177" s="25"/>
      <c r="K177" s="27"/>
      <c r="L177" s="28" t="str">
        <f aca="false">IF($A177="","",$K177/(Settings!$B$4+Settings!$B$5+SUM($M$3:$M176)))</f>
        <v/>
      </c>
      <c r="M177" s="27"/>
      <c r="N177" s="29" t="str">
        <f aca="false">IF(OR($A177="",$K177=0),"",$M177/$K177)</f>
        <v/>
      </c>
      <c r="O177" s="27" t="str">
        <f aca="false">IF($A177="","",SUM($M$4:$M177))</f>
        <v/>
      </c>
      <c r="P177" s="25"/>
    </row>
    <row r="178" customFormat="false" ht="15" hidden="false" customHeight="false" outlineLevel="0" collapsed="false">
      <c r="A178" s="30"/>
      <c r="B178" s="16" t="str">
        <f aca="false">IF($A178="","",TEXT($A178,"YYYY-MM"))</f>
        <v/>
      </c>
      <c r="C178" s="31"/>
      <c r="D178" s="31"/>
      <c r="E178" s="31"/>
      <c r="F178" s="31"/>
      <c r="G178" s="32"/>
      <c r="H178" s="32"/>
      <c r="I178" s="32"/>
      <c r="J178" s="31"/>
      <c r="K178" s="22"/>
      <c r="L178" s="20" t="str">
        <f aca="false">IF($A178="","",$K178/(Settings!$B$4+Settings!$B$5+SUM($M$3:$M177)))</f>
        <v/>
      </c>
      <c r="M178" s="22"/>
      <c r="N178" s="21" t="str">
        <f aca="false">IF(OR($A178="",$K178=0),"",$M178/$K178)</f>
        <v/>
      </c>
      <c r="O178" s="22" t="str">
        <f aca="false">IF($A178="","",SUM($M$4:$M178))</f>
        <v/>
      </c>
      <c r="P178" s="31"/>
    </row>
    <row r="179" customFormat="false" ht="15" hidden="false" customHeight="false" outlineLevel="0" collapsed="false">
      <c r="A179" s="23"/>
      <c r="B179" s="24" t="str">
        <f aca="false">IF($A179="","",TEXT($A179,"YYYY-MM"))</f>
        <v/>
      </c>
      <c r="C179" s="25"/>
      <c r="D179" s="25"/>
      <c r="E179" s="25"/>
      <c r="F179" s="25"/>
      <c r="G179" s="26"/>
      <c r="H179" s="26"/>
      <c r="I179" s="26"/>
      <c r="J179" s="25"/>
      <c r="K179" s="27"/>
      <c r="L179" s="28" t="str">
        <f aca="false">IF($A179="","",$K179/(Settings!$B$4+Settings!$B$5+SUM($M$3:$M178)))</f>
        <v/>
      </c>
      <c r="M179" s="27"/>
      <c r="N179" s="29" t="str">
        <f aca="false">IF(OR($A179="",$K179=0),"",$M179/$K179)</f>
        <v/>
      </c>
      <c r="O179" s="27" t="str">
        <f aca="false">IF($A179="","",SUM($M$4:$M179))</f>
        <v/>
      </c>
      <c r="P179" s="25"/>
    </row>
    <row r="180" customFormat="false" ht="15" hidden="false" customHeight="false" outlineLevel="0" collapsed="false">
      <c r="A180" s="30"/>
      <c r="B180" s="16" t="str">
        <f aca="false">IF($A180="","",TEXT($A180,"YYYY-MM"))</f>
        <v/>
      </c>
      <c r="C180" s="31"/>
      <c r="D180" s="31"/>
      <c r="E180" s="31"/>
      <c r="F180" s="31"/>
      <c r="G180" s="32"/>
      <c r="H180" s="32"/>
      <c r="I180" s="32"/>
      <c r="J180" s="31"/>
      <c r="K180" s="22"/>
      <c r="L180" s="20" t="str">
        <f aca="false">IF($A180="","",$K180/(Settings!$B$4+Settings!$B$5+SUM($M$3:$M179)))</f>
        <v/>
      </c>
      <c r="M180" s="22"/>
      <c r="N180" s="21" t="str">
        <f aca="false">IF(OR($A180="",$K180=0),"",$M180/$K180)</f>
        <v/>
      </c>
      <c r="O180" s="22" t="str">
        <f aca="false">IF($A180="","",SUM($M$4:$M180))</f>
        <v/>
      </c>
      <c r="P180" s="31"/>
    </row>
    <row r="181" customFormat="false" ht="15" hidden="false" customHeight="false" outlineLevel="0" collapsed="false">
      <c r="A181" s="23"/>
      <c r="B181" s="24" t="str">
        <f aca="false">IF($A181="","",TEXT($A181,"YYYY-MM"))</f>
        <v/>
      </c>
      <c r="C181" s="25"/>
      <c r="D181" s="25"/>
      <c r="E181" s="25"/>
      <c r="F181" s="25"/>
      <c r="G181" s="26"/>
      <c r="H181" s="26"/>
      <c r="I181" s="26"/>
      <c r="J181" s="25"/>
      <c r="K181" s="27"/>
      <c r="L181" s="28" t="str">
        <f aca="false">IF($A181="","",$K181/(Settings!$B$4+Settings!$B$5+SUM($M$3:$M180)))</f>
        <v/>
      </c>
      <c r="M181" s="27"/>
      <c r="N181" s="29" t="str">
        <f aca="false">IF(OR($A181="",$K181=0),"",$M181/$K181)</f>
        <v/>
      </c>
      <c r="O181" s="27" t="str">
        <f aca="false">IF($A181="","",SUM($M$4:$M181))</f>
        <v/>
      </c>
      <c r="P181" s="25"/>
    </row>
    <row r="182" customFormat="false" ht="15" hidden="false" customHeight="false" outlineLevel="0" collapsed="false">
      <c r="A182" s="30"/>
      <c r="B182" s="16" t="str">
        <f aca="false">IF($A182="","",TEXT($A182,"YYYY-MM"))</f>
        <v/>
      </c>
      <c r="C182" s="31"/>
      <c r="D182" s="31"/>
      <c r="E182" s="31"/>
      <c r="F182" s="31"/>
      <c r="G182" s="32"/>
      <c r="H182" s="32"/>
      <c r="I182" s="32"/>
      <c r="J182" s="31"/>
      <c r="K182" s="22"/>
      <c r="L182" s="20" t="str">
        <f aca="false">IF($A182="","",$K182/(Settings!$B$4+Settings!$B$5+SUM($M$3:$M181)))</f>
        <v/>
      </c>
      <c r="M182" s="22"/>
      <c r="N182" s="21" t="str">
        <f aca="false">IF(OR($A182="",$K182=0),"",$M182/$K182)</f>
        <v/>
      </c>
      <c r="O182" s="22" t="str">
        <f aca="false">IF($A182="","",SUM($M$4:$M182))</f>
        <v/>
      </c>
      <c r="P182" s="31"/>
    </row>
    <row r="183" customFormat="false" ht="15" hidden="false" customHeight="false" outlineLevel="0" collapsed="false">
      <c r="A183" s="23"/>
      <c r="B183" s="24" t="str">
        <f aca="false">IF($A183="","",TEXT($A183,"YYYY-MM"))</f>
        <v/>
      </c>
      <c r="C183" s="25"/>
      <c r="D183" s="25"/>
      <c r="E183" s="25"/>
      <c r="F183" s="25"/>
      <c r="G183" s="26"/>
      <c r="H183" s="26"/>
      <c r="I183" s="26"/>
      <c r="J183" s="25"/>
      <c r="K183" s="27"/>
      <c r="L183" s="28" t="str">
        <f aca="false">IF($A183="","",$K183/(Settings!$B$4+Settings!$B$5+SUM($M$3:$M182)))</f>
        <v/>
      </c>
      <c r="M183" s="27"/>
      <c r="N183" s="29" t="str">
        <f aca="false">IF(OR($A183="",$K183=0),"",$M183/$K183)</f>
        <v/>
      </c>
      <c r="O183" s="27" t="str">
        <f aca="false">IF($A183="","",SUM($M$4:$M183))</f>
        <v/>
      </c>
      <c r="P183" s="25"/>
    </row>
    <row r="184" customFormat="false" ht="15" hidden="false" customHeight="false" outlineLevel="0" collapsed="false">
      <c r="A184" s="30"/>
      <c r="B184" s="16" t="str">
        <f aca="false">IF($A184="","",TEXT($A184,"YYYY-MM"))</f>
        <v/>
      </c>
      <c r="C184" s="31"/>
      <c r="D184" s="31"/>
      <c r="E184" s="31"/>
      <c r="F184" s="31"/>
      <c r="G184" s="32"/>
      <c r="H184" s="32"/>
      <c r="I184" s="32"/>
      <c r="J184" s="31"/>
      <c r="K184" s="22"/>
      <c r="L184" s="20" t="str">
        <f aca="false">IF($A184="","",$K184/(Settings!$B$4+Settings!$B$5+SUM($M$3:$M183)))</f>
        <v/>
      </c>
      <c r="M184" s="22"/>
      <c r="N184" s="21" t="str">
        <f aca="false">IF(OR($A184="",$K184=0),"",$M184/$K184)</f>
        <v/>
      </c>
      <c r="O184" s="22" t="str">
        <f aca="false">IF($A184="","",SUM($M$4:$M184))</f>
        <v/>
      </c>
      <c r="P184" s="31"/>
    </row>
    <row r="185" customFormat="false" ht="15" hidden="false" customHeight="false" outlineLevel="0" collapsed="false">
      <c r="A185" s="23"/>
      <c r="B185" s="24" t="str">
        <f aca="false">IF($A185="","",TEXT($A185,"YYYY-MM"))</f>
        <v/>
      </c>
      <c r="C185" s="25"/>
      <c r="D185" s="25"/>
      <c r="E185" s="25"/>
      <c r="F185" s="25"/>
      <c r="G185" s="26"/>
      <c r="H185" s="26"/>
      <c r="I185" s="26"/>
      <c r="J185" s="25"/>
      <c r="K185" s="27"/>
      <c r="L185" s="28" t="str">
        <f aca="false">IF($A185="","",$K185/(Settings!$B$4+Settings!$B$5+SUM($M$3:$M184)))</f>
        <v/>
      </c>
      <c r="M185" s="27"/>
      <c r="N185" s="29" t="str">
        <f aca="false">IF(OR($A185="",$K185=0),"",$M185/$K185)</f>
        <v/>
      </c>
      <c r="O185" s="27" t="str">
        <f aca="false">IF($A185="","",SUM($M$4:$M185))</f>
        <v/>
      </c>
      <c r="P185" s="25"/>
    </row>
    <row r="186" customFormat="false" ht="15" hidden="false" customHeight="false" outlineLevel="0" collapsed="false">
      <c r="A186" s="30"/>
      <c r="B186" s="16" t="str">
        <f aca="false">IF($A186="","",TEXT($A186,"YYYY-MM"))</f>
        <v/>
      </c>
      <c r="C186" s="31"/>
      <c r="D186" s="31"/>
      <c r="E186" s="31"/>
      <c r="F186" s="31"/>
      <c r="G186" s="32"/>
      <c r="H186" s="32"/>
      <c r="I186" s="32"/>
      <c r="J186" s="31"/>
      <c r="K186" s="22"/>
      <c r="L186" s="20" t="str">
        <f aca="false">IF($A186="","",$K186/(Settings!$B$4+Settings!$B$5+SUM($M$3:$M185)))</f>
        <v/>
      </c>
      <c r="M186" s="22"/>
      <c r="N186" s="21" t="str">
        <f aca="false">IF(OR($A186="",$K186=0),"",$M186/$K186)</f>
        <v/>
      </c>
      <c r="O186" s="22" t="str">
        <f aca="false">IF($A186="","",SUM($M$4:$M186))</f>
        <v/>
      </c>
      <c r="P186" s="31"/>
    </row>
    <row r="187" customFormat="false" ht="15" hidden="false" customHeight="false" outlineLevel="0" collapsed="false">
      <c r="A187" s="23"/>
      <c r="B187" s="24" t="str">
        <f aca="false">IF($A187="","",TEXT($A187,"YYYY-MM"))</f>
        <v/>
      </c>
      <c r="C187" s="25"/>
      <c r="D187" s="25"/>
      <c r="E187" s="25"/>
      <c r="F187" s="25"/>
      <c r="G187" s="26"/>
      <c r="H187" s="26"/>
      <c r="I187" s="26"/>
      <c r="J187" s="25"/>
      <c r="K187" s="27"/>
      <c r="L187" s="28" t="str">
        <f aca="false">IF($A187="","",$K187/(Settings!$B$4+Settings!$B$5+SUM($M$3:$M186)))</f>
        <v/>
      </c>
      <c r="M187" s="27"/>
      <c r="N187" s="29" t="str">
        <f aca="false">IF(OR($A187="",$K187=0),"",$M187/$K187)</f>
        <v/>
      </c>
      <c r="O187" s="27" t="str">
        <f aca="false">IF($A187="","",SUM($M$4:$M187))</f>
        <v/>
      </c>
      <c r="P187" s="25"/>
    </row>
    <row r="188" customFormat="false" ht="15" hidden="false" customHeight="false" outlineLevel="0" collapsed="false">
      <c r="A188" s="30"/>
      <c r="B188" s="16" t="str">
        <f aca="false">IF($A188="","",TEXT($A188,"YYYY-MM"))</f>
        <v/>
      </c>
      <c r="C188" s="31"/>
      <c r="D188" s="31"/>
      <c r="E188" s="31"/>
      <c r="F188" s="31"/>
      <c r="G188" s="32"/>
      <c r="H188" s="32"/>
      <c r="I188" s="32"/>
      <c r="J188" s="31"/>
      <c r="K188" s="22"/>
      <c r="L188" s="20" t="str">
        <f aca="false">IF($A188="","",$K188/(Settings!$B$4+Settings!$B$5+SUM($M$3:$M187)))</f>
        <v/>
      </c>
      <c r="M188" s="22"/>
      <c r="N188" s="21" t="str">
        <f aca="false">IF(OR($A188="",$K188=0),"",$M188/$K188)</f>
        <v/>
      </c>
      <c r="O188" s="22" t="str">
        <f aca="false">IF($A188="","",SUM($M$4:$M188))</f>
        <v/>
      </c>
      <c r="P188" s="31"/>
    </row>
    <row r="189" customFormat="false" ht="15" hidden="false" customHeight="false" outlineLevel="0" collapsed="false">
      <c r="A189" s="23"/>
      <c r="B189" s="24" t="str">
        <f aca="false">IF($A189="","",TEXT($A189,"YYYY-MM"))</f>
        <v/>
      </c>
      <c r="C189" s="25"/>
      <c r="D189" s="25"/>
      <c r="E189" s="25"/>
      <c r="F189" s="25"/>
      <c r="G189" s="26"/>
      <c r="H189" s="26"/>
      <c r="I189" s="26"/>
      <c r="J189" s="25"/>
      <c r="K189" s="27"/>
      <c r="L189" s="28" t="str">
        <f aca="false">IF($A189="","",$K189/(Settings!$B$4+Settings!$B$5+SUM($M$3:$M188)))</f>
        <v/>
      </c>
      <c r="M189" s="27"/>
      <c r="N189" s="29" t="str">
        <f aca="false">IF(OR($A189="",$K189=0),"",$M189/$K189)</f>
        <v/>
      </c>
      <c r="O189" s="27" t="str">
        <f aca="false">IF($A189="","",SUM($M$4:$M189))</f>
        <v/>
      </c>
      <c r="P189" s="25"/>
    </row>
    <row r="190" customFormat="false" ht="15" hidden="false" customHeight="false" outlineLevel="0" collapsed="false">
      <c r="A190" s="30"/>
      <c r="B190" s="16" t="str">
        <f aca="false">IF($A190="","",TEXT($A190,"YYYY-MM"))</f>
        <v/>
      </c>
      <c r="C190" s="31"/>
      <c r="D190" s="31"/>
      <c r="E190" s="31"/>
      <c r="F190" s="31"/>
      <c r="G190" s="32"/>
      <c r="H190" s="32"/>
      <c r="I190" s="32"/>
      <c r="J190" s="31"/>
      <c r="K190" s="22"/>
      <c r="L190" s="20" t="str">
        <f aca="false">IF($A190="","",$K190/(Settings!$B$4+Settings!$B$5+SUM($M$3:$M189)))</f>
        <v/>
      </c>
      <c r="M190" s="22"/>
      <c r="N190" s="21" t="str">
        <f aca="false">IF(OR($A190="",$K190=0),"",$M190/$K190)</f>
        <v/>
      </c>
      <c r="O190" s="22" t="str">
        <f aca="false">IF($A190="","",SUM($M$4:$M190))</f>
        <v/>
      </c>
      <c r="P190" s="31"/>
    </row>
    <row r="191" customFormat="false" ht="15" hidden="false" customHeight="false" outlineLevel="0" collapsed="false">
      <c r="A191" s="23"/>
      <c r="B191" s="24" t="str">
        <f aca="false">IF($A191="","",TEXT($A191,"YYYY-MM"))</f>
        <v/>
      </c>
      <c r="C191" s="25"/>
      <c r="D191" s="25"/>
      <c r="E191" s="25"/>
      <c r="F191" s="25"/>
      <c r="G191" s="26"/>
      <c r="H191" s="26"/>
      <c r="I191" s="26"/>
      <c r="J191" s="25"/>
      <c r="K191" s="27"/>
      <c r="L191" s="28" t="str">
        <f aca="false">IF($A191="","",$K191/(Settings!$B$4+Settings!$B$5+SUM($M$3:$M190)))</f>
        <v/>
      </c>
      <c r="M191" s="27"/>
      <c r="N191" s="29" t="str">
        <f aca="false">IF(OR($A191="",$K191=0),"",$M191/$K191)</f>
        <v/>
      </c>
      <c r="O191" s="27" t="str">
        <f aca="false">IF($A191="","",SUM($M$4:$M191))</f>
        <v/>
      </c>
      <c r="P191" s="25"/>
    </row>
    <row r="192" customFormat="false" ht="15" hidden="false" customHeight="false" outlineLevel="0" collapsed="false">
      <c r="A192" s="30"/>
      <c r="B192" s="16" t="str">
        <f aca="false">IF($A192="","",TEXT($A192,"YYYY-MM"))</f>
        <v/>
      </c>
      <c r="C192" s="31"/>
      <c r="D192" s="31"/>
      <c r="E192" s="31"/>
      <c r="F192" s="31"/>
      <c r="G192" s="32"/>
      <c r="H192" s="32"/>
      <c r="I192" s="32"/>
      <c r="J192" s="31"/>
      <c r="K192" s="22"/>
      <c r="L192" s="20" t="str">
        <f aca="false">IF($A192="","",$K192/(Settings!$B$4+Settings!$B$5+SUM($M$3:$M191)))</f>
        <v/>
      </c>
      <c r="M192" s="22"/>
      <c r="N192" s="21" t="str">
        <f aca="false">IF(OR($A192="",$K192=0),"",$M192/$K192)</f>
        <v/>
      </c>
      <c r="O192" s="22" t="str">
        <f aca="false">IF($A192="","",SUM($M$4:$M192))</f>
        <v/>
      </c>
      <c r="P192" s="31"/>
    </row>
    <row r="193" customFormat="false" ht="15" hidden="false" customHeight="false" outlineLevel="0" collapsed="false">
      <c r="A193" s="23"/>
      <c r="B193" s="24" t="str">
        <f aca="false">IF($A193="","",TEXT($A193,"YYYY-MM"))</f>
        <v/>
      </c>
      <c r="C193" s="25"/>
      <c r="D193" s="25"/>
      <c r="E193" s="25"/>
      <c r="F193" s="25"/>
      <c r="G193" s="26"/>
      <c r="H193" s="26"/>
      <c r="I193" s="26"/>
      <c r="J193" s="25"/>
      <c r="K193" s="27"/>
      <c r="L193" s="28" t="str">
        <f aca="false">IF($A193="","",$K193/(Settings!$B$4+Settings!$B$5+SUM($M$3:$M192)))</f>
        <v/>
      </c>
      <c r="M193" s="27"/>
      <c r="N193" s="29" t="str">
        <f aca="false">IF(OR($A193="",$K193=0),"",$M193/$K193)</f>
        <v/>
      </c>
      <c r="O193" s="27" t="str">
        <f aca="false">IF($A193="","",SUM($M$4:$M193))</f>
        <v/>
      </c>
      <c r="P193" s="25"/>
    </row>
    <row r="194" customFormat="false" ht="15" hidden="false" customHeight="false" outlineLevel="0" collapsed="false">
      <c r="A194" s="30"/>
      <c r="B194" s="16" t="str">
        <f aca="false">IF($A194="","",TEXT($A194,"YYYY-MM"))</f>
        <v/>
      </c>
      <c r="C194" s="31"/>
      <c r="D194" s="31"/>
      <c r="E194" s="31"/>
      <c r="F194" s="31"/>
      <c r="G194" s="32"/>
      <c r="H194" s="32"/>
      <c r="I194" s="32"/>
      <c r="J194" s="31"/>
      <c r="K194" s="22"/>
      <c r="L194" s="20" t="str">
        <f aca="false">IF($A194="","",$K194/(Settings!$B$4+Settings!$B$5+SUM($M$3:$M193)))</f>
        <v/>
      </c>
      <c r="M194" s="22"/>
      <c r="N194" s="21" t="str">
        <f aca="false">IF(OR($A194="",$K194=0),"",$M194/$K194)</f>
        <v/>
      </c>
      <c r="O194" s="22" t="str">
        <f aca="false">IF($A194="","",SUM($M$4:$M194))</f>
        <v/>
      </c>
      <c r="P194" s="31"/>
    </row>
    <row r="195" customFormat="false" ht="15" hidden="false" customHeight="false" outlineLevel="0" collapsed="false">
      <c r="A195" s="23"/>
      <c r="B195" s="24" t="str">
        <f aca="false">IF($A195="","",TEXT($A195,"YYYY-MM"))</f>
        <v/>
      </c>
      <c r="C195" s="25"/>
      <c r="D195" s="25"/>
      <c r="E195" s="25"/>
      <c r="F195" s="25"/>
      <c r="G195" s="26"/>
      <c r="H195" s="26"/>
      <c r="I195" s="26"/>
      <c r="J195" s="25"/>
      <c r="K195" s="27"/>
      <c r="L195" s="28" t="str">
        <f aca="false">IF($A195="","",$K195/(Settings!$B$4+Settings!$B$5+SUM($M$3:$M194)))</f>
        <v/>
      </c>
      <c r="M195" s="27"/>
      <c r="N195" s="29" t="str">
        <f aca="false">IF(OR($A195="",$K195=0),"",$M195/$K195)</f>
        <v/>
      </c>
      <c r="O195" s="27" t="str">
        <f aca="false">IF($A195="","",SUM($M$4:$M195))</f>
        <v/>
      </c>
      <c r="P195" s="25"/>
    </row>
    <row r="196" customFormat="false" ht="15" hidden="false" customHeight="false" outlineLevel="0" collapsed="false">
      <c r="A196" s="30"/>
      <c r="B196" s="16" t="str">
        <f aca="false">IF($A196="","",TEXT($A196,"YYYY-MM"))</f>
        <v/>
      </c>
      <c r="C196" s="31"/>
      <c r="D196" s="31"/>
      <c r="E196" s="31"/>
      <c r="F196" s="31"/>
      <c r="G196" s="32"/>
      <c r="H196" s="32"/>
      <c r="I196" s="32"/>
      <c r="J196" s="31"/>
      <c r="K196" s="22"/>
      <c r="L196" s="20" t="str">
        <f aca="false">IF($A196="","",$K196/(Settings!$B$4+Settings!$B$5+SUM($M$3:$M195)))</f>
        <v/>
      </c>
      <c r="M196" s="22"/>
      <c r="N196" s="21" t="str">
        <f aca="false">IF(OR($A196="",$K196=0),"",$M196/$K196)</f>
        <v/>
      </c>
      <c r="O196" s="22" t="str">
        <f aca="false">IF($A196="","",SUM($M$4:$M196))</f>
        <v/>
      </c>
      <c r="P196" s="31"/>
    </row>
    <row r="197" customFormat="false" ht="15" hidden="false" customHeight="false" outlineLevel="0" collapsed="false">
      <c r="A197" s="23"/>
      <c r="B197" s="24" t="str">
        <f aca="false">IF($A197="","",TEXT($A197,"YYYY-MM"))</f>
        <v/>
      </c>
      <c r="C197" s="25"/>
      <c r="D197" s="25"/>
      <c r="E197" s="25"/>
      <c r="F197" s="25"/>
      <c r="G197" s="26"/>
      <c r="H197" s="26"/>
      <c r="I197" s="26"/>
      <c r="J197" s="25"/>
      <c r="K197" s="27"/>
      <c r="L197" s="28" t="str">
        <f aca="false">IF($A197="","",$K197/(Settings!$B$4+Settings!$B$5+SUM($M$3:$M196)))</f>
        <v/>
      </c>
      <c r="M197" s="27"/>
      <c r="N197" s="29" t="str">
        <f aca="false">IF(OR($A197="",$K197=0),"",$M197/$K197)</f>
        <v/>
      </c>
      <c r="O197" s="27" t="str">
        <f aca="false">IF($A197="","",SUM($M$4:$M197))</f>
        <v/>
      </c>
      <c r="P197" s="25"/>
    </row>
    <row r="198" customFormat="false" ht="15" hidden="false" customHeight="false" outlineLevel="0" collapsed="false">
      <c r="A198" s="30"/>
      <c r="B198" s="16" t="str">
        <f aca="false">IF($A198="","",TEXT($A198,"YYYY-MM"))</f>
        <v/>
      </c>
      <c r="C198" s="31"/>
      <c r="D198" s="31"/>
      <c r="E198" s="31"/>
      <c r="F198" s="31"/>
      <c r="G198" s="32"/>
      <c r="H198" s="32"/>
      <c r="I198" s="32"/>
      <c r="J198" s="31"/>
      <c r="K198" s="22"/>
      <c r="L198" s="20" t="str">
        <f aca="false">IF($A198="","",$K198/(Settings!$B$4+Settings!$B$5+SUM($M$3:$M197)))</f>
        <v/>
      </c>
      <c r="M198" s="22"/>
      <c r="N198" s="21" t="str">
        <f aca="false">IF(OR($A198="",$K198=0),"",$M198/$K198)</f>
        <v/>
      </c>
      <c r="O198" s="22" t="str">
        <f aca="false">IF($A198="","",SUM($M$4:$M198))</f>
        <v/>
      </c>
      <c r="P198" s="31"/>
    </row>
    <row r="199" customFormat="false" ht="15" hidden="false" customHeight="false" outlineLevel="0" collapsed="false">
      <c r="A199" s="23"/>
      <c r="B199" s="24" t="str">
        <f aca="false">IF($A199="","",TEXT($A199,"YYYY-MM"))</f>
        <v/>
      </c>
      <c r="C199" s="25"/>
      <c r="D199" s="25"/>
      <c r="E199" s="25"/>
      <c r="F199" s="25"/>
      <c r="G199" s="26"/>
      <c r="H199" s="26"/>
      <c r="I199" s="26"/>
      <c r="J199" s="25"/>
      <c r="K199" s="27"/>
      <c r="L199" s="28" t="str">
        <f aca="false">IF($A199="","",$K199/(Settings!$B$4+Settings!$B$5+SUM($M$3:$M198)))</f>
        <v/>
      </c>
      <c r="M199" s="27"/>
      <c r="N199" s="29" t="str">
        <f aca="false">IF(OR($A199="",$K199=0),"",$M199/$K199)</f>
        <v/>
      </c>
      <c r="O199" s="27" t="str">
        <f aca="false">IF($A199="","",SUM($M$4:$M199))</f>
        <v/>
      </c>
      <c r="P199" s="25"/>
    </row>
    <row r="200" customFormat="false" ht="15" hidden="false" customHeight="false" outlineLevel="0" collapsed="false">
      <c r="A200" s="30"/>
      <c r="B200" s="16" t="str">
        <f aca="false">IF($A200="","",TEXT($A200,"YYYY-MM"))</f>
        <v/>
      </c>
      <c r="C200" s="31"/>
      <c r="D200" s="31"/>
      <c r="E200" s="31"/>
      <c r="F200" s="31"/>
      <c r="G200" s="32"/>
      <c r="H200" s="32"/>
      <c r="I200" s="32"/>
      <c r="J200" s="31"/>
      <c r="K200" s="22"/>
      <c r="L200" s="20" t="str">
        <f aca="false">IF($A200="","",$K200/(Settings!$B$4+Settings!$B$5+SUM($M$3:$M199)))</f>
        <v/>
      </c>
      <c r="M200" s="22"/>
      <c r="N200" s="21" t="str">
        <f aca="false">IF(OR($A200="",$K200=0),"",$M200/$K200)</f>
        <v/>
      </c>
      <c r="O200" s="22" t="str">
        <f aca="false">IF($A200="","",SUM($M$4:$M200))</f>
        <v/>
      </c>
      <c r="P200" s="31"/>
    </row>
    <row r="201" customFormat="false" ht="15" hidden="false" customHeight="false" outlineLevel="0" collapsed="false">
      <c r="A201" s="23"/>
      <c r="B201" s="24" t="str">
        <f aca="false">IF($A201="","",TEXT($A201,"YYYY-MM"))</f>
        <v/>
      </c>
      <c r="C201" s="25"/>
      <c r="D201" s="25"/>
      <c r="E201" s="25"/>
      <c r="F201" s="25"/>
      <c r="G201" s="26"/>
      <c r="H201" s="26"/>
      <c r="I201" s="26"/>
      <c r="J201" s="25"/>
      <c r="K201" s="27"/>
      <c r="L201" s="28" t="str">
        <f aca="false">IF($A201="","",$K201/(Settings!$B$4+Settings!$B$5+SUM($M$3:$M200)))</f>
        <v/>
      </c>
      <c r="M201" s="27"/>
      <c r="N201" s="29" t="str">
        <f aca="false">IF(OR($A201="",$K201=0),"",$M201/$K201)</f>
        <v/>
      </c>
      <c r="O201" s="27" t="str">
        <f aca="false">IF($A201="","",SUM($M$4:$M201))</f>
        <v/>
      </c>
      <c r="P201" s="25"/>
    </row>
    <row r="202" customFormat="false" ht="15" hidden="false" customHeight="false" outlineLevel="0" collapsed="false">
      <c r="A202" s="30"/>
      <c r="B202" s="16" t="str">
        <f aca="false">IF($A202="","",TEXT($A202,"YYYY-MM"))</f>
        <v/>
      </c>
      <c r="C202" s="31"/>
      <c r="D202" s="31"/>
      <c r="E202" s="31"/>
      <c r="F202" s="31"/>
      <c r="G202" s="32"/>
      <c r="H202" s="32"/>
      <c r="I202" s="32"/>
      <c r="J202" s="31"/>
      <c r="K202" s="22"/>
      <c r="L202" s="20" t="str">
        <f aca="false">IF($A202="","",$K202/(Settings!$B$4+Settings!$B$5+SUM($M$3:$M201)))</f>
        <v/>
      </c>
      <c r="M202" s="22"/>
      <c r="N202" s="21" t="str">
        <f aca="false">IF(OR($A202="",$K202=0),"",$M202/$K202)</f>
        <v/>
      </c>
      <c r="O202" s="22" t="str">
        <f aca="false">IF($A202="","",SUM($M$4:$M202))</f>
        <v/>
      </c>
      <c r="P202" s="31"/>
    </row>
    <row r="203" customFormat="false" ht="15" hidden="false" customHeight="false" outlineLevel="0" collapsed="false">
      <c r="A203" s="23"/>
      <c r="B203" s="24" t="str">
        <f aca="false">IF($A203="","",TEXT($A203,"YYYY-MM"))</f>
        <v/>
      </c>
      <c r="C203" s="25"/>
      <c r="D203" s="25"/>
      <c r="E203" s="25"/>
      <c r="F203" s="25"/>
      <c r="G203" s="26"/>
      <c r="H203" s="26"/>
      <c r="I203" s="26"/>
      <c r="J203" s="25"/>
      <c r="K203" s="27"/>
      <c r="L203" s="28" t="str">
        <f aca="false">IF($A203="","",$K203/(Settings!$B$4+Settings!$B$5+SUM($M$3:$M202)))</f>
        <v/>
      </c>
      <c r="M203" s="27"/>
      <c r="N203" s="29" t="str">
        <f aca="false">IF(OR($A203="",$K203=0),"",$M203/$K203)</f>
        <v/>
      </c>
      <c r="O203" s="27" t="str">
        <f aca="false">IF($A203="","",SUM($M$4:$M203))</f>
        <v/>
      </c>
      <c r="P203" s="25"/>
    </row>
    <row r="204" customFormat="false" ht="15" hidden="false" customHeight="false" outlineLevel="0" collapsed="false">
      <c r="A204" s="30"/>
      <c r="B204" s="16" t="str">
        <f aca="false">IF($A204="","",TEXT($A204,"YYYY-MM"))</f>
        <v/>
      </c>
      <c r="C204" s="31"/>
      <c r="D204" s="31"/>
      <c r="E204" s="31"/>
      <c r="F204" s="31"/>
      <c r="G204" s="32"/>
      <c r="H204" s="32"/>
      <c r="I204" s="32"/>
      <c r="J204" s="31"/>
      <c r="K204" s="22"/>
      <c r="L204" s="20" t="str">
        <f aca="false">IF($A204="","",$K204/(Settings!$B$4+Settings!$B$5+SUM($M$3:$M203)))</f>
        <v/>
      </c>
      <c r="M204" s="22"/>
      <c r="N204" s="21" t="str">
        <f aca="false">IF(OR($A204="",$K204=0),"",$M204/$K204)</f>
        <v/>
      </c>
      <c r="O204" s="22" t="str">
        <f aca="false">IF($A204="","",SUM($M$4:$M204))</f>
        <v/>
      </c>
      <c r="P204" s="31"/>
    </row>
    <row r="205" customFormat="false" ht="15" hidden="false" customHeight="false" outlineLevel="0" collapsed="false">
      <c r="A205" s="23"/>
      <c r="B205" s="24" t="str">
        <f aca="false">IF($A205="","",TEXT($A205,"YYYY-MM"))</f>
        <v/>
      </c>
      <c r="C205" s="25"/>
      <c r="D205" s="25"/>
      <c r="E205" s="25"/>
      <c r="F205" s="25"/>
      <c r="G205" s="26"/>
      <c r="H205" s="26"/>
      <c r="I205" s="26"/>
      <c r="J205" s="25"/>
      <c r="K205" s="27"/>
      <c r="L205" s="28" t="str">
        <f aca="false">IF($A205="","",$K205/(Settings!$B$4+Settings!$B$5+SUM($M$3:$M204)))</f>
        <v/>
      </c>
      <c r="M205" s="27"/>
      <c r="N205" s="29" t="str">
        <f aca="false">IF(OR($A205="",$K205=0),"",$M205/$K205)</f>
        <v/>
      </c>
      <c r="O205" s="27" t="str">
        <f aca="false">IF($A205="","",SUM($M$4:$M205))</f>
        <v/>
      </c>
      <c r="P205" s="25"/>
    </row>
    <row r="206" customFormat="false" ht="15" hidden="false" customHeight="false" outlineLevel="0" collapsed="false">
      <c r="A206" s="30"/>
      <c r="B206" s="16" t="str">
        <f aca="false">IF($A206="","",TEXT($A206,"YYYY-MM"))</f>
        <v/>
      </c>
      <c r="C206" s="31"/>
      <c r="D206" s="31"/>
      <c r="E206" s="31"/>
      <c r="F206" s="31"/>
      <c r="G206" s="32"/>
      <c r="H206" s="32"/>
      <c r="I206" s="32"/>
      <c r="J206" s="31"/>
      <c r="K206" s="22"/>
      <c r="L206" s="20" t="str">
        <f aca="false">IF($A206="","",$K206/(Settings!$B$4+Settings!$B$5+SUM($M$3:$M205)))</f>
        <v/>
      </c>
      <c r="M206" s="22"/>
      <c r="N206" s="21" t="str">
        <f aca="false">IF(OR($A206="",$K206=0),"",$M206/$K206)</f>
        <v/>
      </c>
      <c r="O206" s="22" t="str">
        <f aca="false">IF($A206="","",SUM($M$4:$M206))</f>
        <v/>
      </c>
      <c r="P206" s="31"/>
    </row>
    <row r="207" customFormat="false" ht="15" hidden="false" customHeight="false" outlineLevel="0" collapsed="false">
      <c r="A207" s="23"/>
      <c r="B207" s="24" t="str">
        <f aca="false">IF($A207="","",TEXT($A207,"YYYY-MM"))</f>
        <v/>
      </c>
      <c r="C207" s="25"/>
      <c r="D207" s="25"/>
      <c r="E207" s="25"/>
      <c r="F207" s="25"/>
      <c r="G207" s="26"/>
      <c r="H207" s="26"/>
      <c r="I207" s="26"/>
      <c r="J207" s="25"/>
      <c r="K207" s="27"/>
      <c r="L207" s="28" t="str">
        <f aca="false">IF($A207="","",$K207/(Settings!$B$4+Settings!$B$5+SUM($M$3:$M206)))</f>
        <v/>
      </c>
      <c r="M207" s="27"/>
      <c r="N207" s="29" t="str">
        <f aca="false">IF(OR($A207="",$K207=0),"",$M207/$K207)</f>
        <v/>
      </c>
      <c r="O207" s="27" t="str">
        <f aca="false">IF($A207="","",SUM($M$4:$M207))</f>
        <v/>
      </c>
      <c r="P207" s="25"/>
    </row>
    <row r="208" customFormat="false" ht="15" hidden="false" customHeight="false" outlineLevel="0" collapsed="false">
      <c r="A208" s="30"/>
      <c r="B208" s="16" t="str">
        <f aca="false">IF($A208="","",TEXT($A208,"YYYY-MM"))</f>
        <v/>
      </c>
      <c r="C208" s="31"/>
      <c r="D208" s="31"/>
      <c r="E208" s="31"/>
      <c r="F208" s="31"/>
      <c r="G208" s="32"/>
      <c r="H208" s="32"/>
      <c r="I208" s="32"/>
      <c r="J208" s="31"/>
      <c r="K208" s="22"/>
      <c r="L208" s="20" t="str">
        <f aca="false">IF($A208="","",$K208/(Settings!$B$4+Settings!$B$5+SUM($M$3:$M207)))</f>
        <v/>
      </c>
      <c r="M208" s="22"/>
      <c r="N208" s="21" t="str">
        <f aca="false">IF(OR($A208="",$K208=0),"",$M208/$K208)</f>
        <v/>
      </c>
      <c r="O208" s="22" t="str">
        <f aca="false">IF($A208="","",SUM($M$4:$M208))</f>
        <v/>
      </c>
      <c r="P208" s="31"/>
    </row>
    <row r="209" customFormat="false" ht="15" hidden="false" customHeight="false" outlineLevel="0" collapsed="false">
      <c r="A209" s="23"/>
      <c r="B209" s="24" t="str">
        <f aca="false">IF($A209="","",TEXT($A209,"YYYY-MM"))</f>
        <v/>
      </c>
      <c r="C209" s="25"/>
      <c r="D209" s="25"/>
      <c r="E209" s="25"/>
      <c r="F209" s="25"/>
      <c r="G209" s="26"/>
      <c r="H209" s="26"/>
      <c r="I209" s="26"/>
      <c r="J209" s="25"/>
      <c r="K209" s="27"/>
      <c r="L209" s="28" t="str">
        <f aca="false">IF($A209="","",$K209/(Settings!$B$4+Settings!$B$5+SUM($M$3:$M208)))</f>
        <v/>
      </c>
      <c r="M209" s="27"/>
      <c r="N209" s="29" t="str">
        <f aca="false">IF(OR($A209="",$K209=0),"",$M209/$K209)</f>
        <v/>
      </c>
      <c r="O209" s="27" t="str">
        <f aca="false">IF($A209="","",SUM($M$4:$M209))</f>
        <v/>
      </c>
      <c r="P209" s="25"/>
    </row>
    <row r="210" customFormat="false" ht="15" hidden="false" customHeight="false" outlineLevel="0" collapsed="false">
      <c r="A210" s="30"/>
      <c r="B210" s="16" t="str">
        <f aca="false">IF($A210="","",TEXT($A210,"YYYY-MM"))</f>
        <v/>
      </c>
      <c r="C210" s="31"/>
      <c r="D210" s="31"/>
      <c r="E210" s="31"/>
      <c r="F210" s="31"/>
      <c r="G210" s="32"/>
      <c r="H210" s="32"/>
      <c r="I210" s="32"/>
      <c r="J210" s="31"/>
      <c r="K210" s="22"/>
      <c r="L210" s="20" t="str">
        <f aca="false">IF($A210="","",$K210/(Settings!$B$4+Settings!$B$5+SUM($M$3:$M209)))</f>
        <v/>
      </c>
      <c r="M210" s="22"/>
      <c r="N210" s="21" t="str">
        <f aca="false">IF(OR($A210="",$K210=0),"",$M210/$K210)</f>
        <v/>
      </c>
      <c r="O210" s="22" t="str">
        <f aca="false">IF($A210="","",SUM($M$4:$M210))</f>
        <v/>
      </c>
      <c r="P210" s="31"/>
    </row>
    <row r="211" customFormat="false" ht="15" hidden="false" customHeight="false" outlineLevel="0" collapsed="false">
      <c r="A211" s="23"/>
      <c r="B211" s="24" t="str">
        <f aca="false">IF($A211="","",TEXT($A211,"YYYY-MM"))</f>
        <v/>
      </c>
      <c r="C211" s="25"/>
      <c r="D211" s="25"/>
      <c r="E211" s="25"/>
      <c r="F211" s="25"/>
      <c r="G211" s="26"/>
      <c r="H211" s="26"/>
      <c r="I211" s="26"/>
      <c r="J211" s="25"/>
      <c r="K211" s="27"/>
      <c r="L211" s="28" t="str">
        <f aca="false">IF($A211="","",$K211/(Settings!$B$4+Settings!$B$5+SUM($M$3:$M210)))</f>
        <v/>
      </c>
      <c r="M211" s="27"/>
      <c r="N211" s="29" t="str">
        <f aca="false">IF(OR($A211="",$K211=0),"",$M211/$K211)</f>
        <v/>
      </c>
      <c r="O211" s="27" t="str">
        <f aca="false">IF($A211="","",SUM($M$4:$M211))</f>
        <v/>
      </c>
      <c r="P211" s="25"/>
    </row>
    <row r="212" customFormat="false" ht="15" hidden="false" customHeight="false" outlineLevel="0" collapsed="false">
      <c r="A212" s="30"/>
      <c r="B212" s="16" t="str">
        <f aca="false">IF($A212="","",TEXT($A212,"YYYY-MM"))</f>
        <v/>
      </c>
      <c r="C212" s="31"/>
      <c r="D212" s="31"/>
      <c r="E212" s="31"/>
      <c r="F212" s="31"/>
      <c r="G212" s="32"/>
      <c r="H212" s="32"/>
      <c r="I212" s="32"/>
      <c r="J212" s="31"/>
      <c r="K212" s="22"/>
      <c r="L212" s="20" t="str">
        <f aca="false">IF($A212="","",$K212/(Settings!$B$4+Settings!$B$5+SUM($M$3:$M211)))</f>
        <v/>
      </c>
      <c r="M212" s="22"/>
      <c r="N212" s="21" t="str">
        <f aca="false">IF(OR($A212="",$K212=0),"",$M212/$K212)</f>
        <v/>
      </c>
      <c r="O212" s="22" t="str">
        <f aca="false">IF($A212="","",SUM($M$4:$M212))</f>
        <v/>
      </c>
      <c r="P212" s="31"/>
    </row>
    <row r="213" customFormat="false" ht="15" hidden="false" customHeight="false" outlineLevel="0" collapsed="false">
      <c r="A213" s="23"/>
      <c r="B213" s="24" t="str">
        <f aca="false">IF($A213="","",TEXT($A213,"YYYY-MM"))</f>
        <v/>
      </c>
      <c r="C213" s="25"/>
      <c r="D213" s="25"/>
      <c r="E213" s="25"/>
      <c r="F213" s="25"/>
      <c r="G213" s="26"/>
      <c r="H213" s="26"/>
      <c r="I213" s="26"/>
      <c r="J213" s="25"/>
      <c r="K213" s="27"/>
      <c r="L213" s="28" t="str">
        <f aca="false">IF($A213="","",$K213/(Settings!$B$4+Settings!$B$5+SUM($M$3:$M212)))</f>
        <v/>
      </c>
      <c r="M213" s="27"/>
      <c r="N213" s="29" t="str">
        <f aca="false">IF(OR($A213="",$K213=0),"",$M213/$K213)</f>
        <v/>
      </c>
      <c r="O213" s="27" t="str">
        <f aca="false">IF($A213="","",SUM($M$4:$M213))</f>
        <v/>
      </c>
      <c r="P213" s="25"/>
    </row>
    <row r="214" customFormat="false" ht="15" hidden="false" customHeight="false" outlineLevel="0" collapsed="false">
      <c r="A214" s="30"/>
      <c r="B214" s="16" t="str">
        <f aca="false">IF($A214="","",TEXT($A214,"YYYY-MM"))</f>
        <v/>
      </c>
      <c r="C214" s="31"/>
      <c r="D214" s="31"/>
      <c r="E214" s="31"/>
      <c r="F214" s="31"/>
      <c r="G214" s="32"/>
      <c r="H214" s="32"/>
      <c r="I214" s="32"/>
      <c r="J214" s="31"/>
      <c r="K214" s="22"/>
      <c r="L214" s="20" t="str">
        <f aca="false">IF($A214="","",$K214/(Settings!$B$4+Settings!$B$5+SUM($M$3:$M213)))</f>
        <v/>
      </c>
      <c r="M214" s="22"/>
      <c r="N214" s="21" t="str">
        <f aca="false">IF(OR($A214="",$K214=0),"",$M214/$K214)</f>
        <v/>
      </c>
      <c r="O214" s="22" t="str">
        <f aca="false">IF($A214="","",SUM($M$4:$M214))</f>
        <v/>
      </c>
      <c r="P214" s="31"/>
    </row>
    <row r="215" customFormat="false" ht="15" hidden="false" customHeight="false" outlineLevel="0" collapsed="false">
      <c r="A215" s="23"/>
      <c r="B215" s="24" t="str">
        <f aca="false">IF($A215="","",TEXT($A215,"YYYY-MM"))</f>
        <v/>
      </c>
      <c r="C215" s="25"/>
      <c r="D215" s="25"/>
      <c r="E215" s="25"/>
      <c r="F215" s="25"/>
      <c r="G215" s="26"/>
      <c r="H215" s="26"/>
      <c r="I215" s="26"/>
      <c r="J215" s="25"/>
      <c r="K215" s="27"/>
      <c r="L215" s="28" t="str">
        <f aca="false">IF($A215="","",$K215/(Settings!$B$4+Settings!$B$5+SUM($M$3:$M214)))</f>
        <v/>
      </c>
      <c r="M215" s="27"/>
      <c r="N215" s="29" t="str">
        <f aca="false">IF(OR($A215="",$K215=0),"",$M215/$K215)</f>
        <v/>
      </c>
      <c r="O215" s="27" t="str">
        <f aca="false">IF($A215="","",SUM($M$4:$M215))</f>
        <v/>
      </c>
      <c r="P215" s="25"/>
    </row>
    <row r="216" customFormat="false" ht="15" hidden="false" customHeight="false" outlineLevel="0" collapsed="false">
      <c r="A216" s="30"/>
      <c r="B216" s="16" t="str">
        <f aca="false">IF($A216="","",TEXT($A216,"YYYY-MM"))</f>
        <v/>
      </c>
      <c r="C216" s="31"/>
      <c r="D216" s="31"/>
      <c r="E216" s="31"/>
      <c r="F216" s="31"/>
      <c r="G216" s="32"/>
      <c r="H216" s="32"/>
      <c r="I216" s="32"/>
      <c r="J216" s="31"/>
      <c r="K216" s="22"/>
      <c r="L216" s="20" t="str">
        <f aca="false">IF($A216="","",$K216/(Settings!$B$4+Settings!$B$5+SUM($M$3:$M215)))</f>
        <v/>
      </c>
      <c r="M216" s="22"/>
      <c r="N216" s="21" t="str">
        <f aca="false">IF(OR($A216="",$K216=0),"",$M216/$K216)</f>
        <v/>
      </c>
      <c r="O216" s="22" t="str">
        <f aca="false">IF($A216="","",SUM($M$4:$M216))</f>
        <v/>
      </c>
      <c r="P216" s="31"/>
    </row>
    <row r="217" customFormat="false" ht="15" hidden="false" customHeight="false" outlineLevel="0" collapsed="false">
      <c r="A217" s="23"/>
      <c r="B217" s="24" t="str">
        <f aca="false">IF($A217="","",TEXT($A217,"YYYY-MM"))</f>
        <v/>
      </c>
      <c r="C217" s="25"/>
      <c r="D217" s="25"/>
      <c r="E217" s="25"/>
      <c r="F217" s="25"/>
      <c r="G217" s="26"/>
      <c r="H217" s="26"/>
      <c r="I217" s="26"/>
      <c r="J217" s="25"/>
      <c r="K217" s="27"/>
      <c r="L217" s="28" t="str">
        <f aca="false">IF($A217="","",$K217/(Settings!$B$4+Settings!$B$5+SUM($M$3:$M216)))</f>
        <v/>
      </c>
      <c r="M217" s="27"/>
      <c r="N217" s="29" t="str">
        <f aca="false">IF(OR($A217="",$K217=0),"",$M217/$K217)</f>
        <v/>
      </c>
      <c r="O217" s="27" t="str">
        <f aca="false">IF($A217="","",SUM($M$4:$M217))</f>
        <v/>
      </c>
      <c r="P217" s="25"/>
    </row>
    <row r="218" customFormat="false" ht="15" hidden="false" customHeight="false" outlineLevel="0" collapsed="false">
      <c r="A218" s="30"/>
      <c r="B218" s="16" t="str">
        <f aca="false">IF($A218="","",TEXT($A218,"YYYY-MM"))</f>
        <v/>
      </c>
      <c r="C218" s="31"/>
      <c r="D218" s="31"/>
      <c r="E218" s="31"/>
      <c r="F218" s="31"/>
      <c r="G218" s="32"/>
      <c r="H218" s="32"/>
      <c r="I218" s="32"/>
      <c r="J218" s="31"/>
      <c r="K218" s="22"/>
      <c r="L218" s="20" t="str">
        <f aca="false">IF($A218="","",$K218/(Settings!$B$4+Settings!$B$5+SUM($M$3:$M217)))</f>
        <v/>
      </c>
      <c r="M218" s="22"/>
      <c r="N218" s="21" t="str">
        <f aca="false">IF(OR($A218="",$K218=0),"",$M218/$K218)</f>
        <v/>
      </c>
      <c r="O218" s="22" t="str">
        <f aca="false">IF($A218="","",SUM($M$4:$M218))</f>
        <v/>
      </c>
      <c r="P218" s="31"/>
    </row>
    <row r="219" customFormat="false" ht="15" hidden="false" customHeight="false" outlineLevel="0" collapsed="false">
      <c r="A219" s="23"/>
      <c r="B219" s="24" t="str">
        <f aca="false">IF($A219="","",TEXT($A219,"YYYY-MM"))</f>
        <v/>
      </c>
      <c r="C219" s="25"/>
      <c r="D219" s="25"/>
      <c r="E219" s="25"/>
      <c r="F219" s="25"/>
      <c r="G219" s="26"/>
      <c r="H219" s="26"/>
      <c r="I219" s="26"/>
      <c r="J219" s="25"/>
      <c r="K219" s="27"/>
      <c r="L219" s="28" t="str">
        <f aca="false">IF($A219="","",$K219/(Settings!$B$4+Settings!$B$5+SUM($M$3:$M218)))</f>
        <v/>
      </c>
      <c r="M219" s="27"/>
      <c r="N219" s="29" t="str">
        <f aca="false">IF(OR($A219="",$K219=0),"",$M219/$K219)</f>
        <v/>
      </c>
      <c r="O219" s="27" t="str">
        <f aca="false">IF($A219="","",SUM($M$4:$M219))</f>
        <v/>
      </c>
      <c r="P219" s="25"/>
    </row>
    <row r="220" customFormat="false" ht="15" hidden="false" customHeight="false" outlineLevel="0" collapsed="false">
      <c r="A220" s="30"/>
      <c r="B220" s="16" t="str">
        <f aca="false">IF($A220="","",TEXT($A220,"YYYY-MM"))</f>
        <v/>
      </c>
      <c r="C220" s="31"/>
      <c r="D220" s="31"/>
      <c r="E220" s="31"/>
      <c r="F220" s="31"/>
      <c r="G220" s="32"/>
      <c r="H220" s="32"/>
      <c r="I220" s="32"/>
      <c r="J220" s="31"/>
      <c r="K220" s="22"/>
      <c r="L220" s="20" t="str">
        <f aca="false">IF($A220="","",$K220/(Settings!$B$4+Settings!$B$5+SUM($M$3:$M219)))</f>
        <v/>
      </c>
      <c r="M220" s="22"/>
      <c r="N220" s="21" t="str">
        <f aca="false">IF(OR($A220="",$K220=0),"",$M220/$K220)</f>
        <v/>
      </c>
      <c r="O220" s="22" t="str">
        <f aca="false">IF($A220="","",SUM($M$4:$M220))</f>
        <v/>
      </c>
      <c r="P220" s="31"/>
    </row>
    <row r="221" customFormat="false" ht="15" hidden="false" customHeight="false" outlineLevel="0" collapsed="false">
      <c r="A221" s="23"/>
      <c r="B221" s="24" t="str">
        <f aca="false">IF($A221="","",TEXT($A221,"YYYY-MM"))</f>
        <v/>
      </c>
      <c r="C221" s="25"/>
      <c r="D221" s="25"/>
      <c r="E221" s="25"/>
      <c r="F221" s="25"/>
      <c r="G221" s="26"/>
      <c r="H221" s="26"/>
      <c r="I221" s="26"/>
      <c r="J221" s="25"/>
      <c r="K221" s="27"/>
      <c r="L221" s="28" t="str">
        <f aca="false">IF($A221="","",$K221/(Settings!$B$4+Settings!$B$5+SUM($M$3:$M220)))</f>
        <v/>
      </c>
      <c r="M221" s="27"/>
      <c r="N221" s="29" t="str">
        <f aca="false">IF(OR($A221="",$K221=0),"",$M221/$K221)</f>
        <v/>
      </c>
      <c r="O221" s="27" t="str">
        <f aca="false">IF($A221="","",SUM($M$4:$M221))</f>
        <v/>
      </c>
      <c r="P221" s="25"/>
    </row>
    <row r="222" customFormat="false" ht="15" hidden="false" customHeight="false" outlineLevel="0" collapsed="false">
      <c r="A222" s="30"/>
      <c r="B222" s="16" t="str">
        <f aca="false">IF($A222="","",TEXT($A222,"YYYY-MM"))</f>
        <v/>
      </c>
      <c r="C222" s="31"/>
      <c r="D222" s="31"/>
      <c r="E222" s="31"/>
      <c r="F222" s="31"/>
      <c r="G222" s="32"/>
      <c r="H222" s="32"/>
      <c r="I222" s="32"/>
      <c r="J222" s="31"/>
      <c r="K222" s="22"/>
      <c r="L222" s="20" t="str">
        <f aca="false">IF($A222="","",$K222/(Settings!$B$4+Settings!$B$5+SUM($M$3:$M221)))</f>
        <v/>
      </c>
      <c r="M222" s="22"/>
      <c r="N222" s="21" t="str">
        <f aca="false">IF(OR($A222="",$K222=0),"",$M222/$K222)</f>
        <v/>
      </c>
      <c r="O222" s="22" t="str">
        <f aca="false">IF($A222="","",SUM($M$4:$M222))</f>
        <v/>
      </c>
      <c r="P222" s="31"/>
    </row>
    <row r="223" customFormat="false" ht="15" hidden="false" customHeight="false" outlineLevel="0" collapsed="false">
      <c r="A223" s="23"/>
      <c r="B223" s="24" t="str">
        <f aca="false">IF($A223="","",TEXT($A223,"YYYY-MM"))</f>
        <v/>
      </c>
      <c r="C223" s="25"/>
      <c r="D223" s="25"/>
      <c r="E223" s="25"/>
      <c r="F223" s="25"/>
      <c r="G223" s="26"/>
      <c r="H223" s="26"/>
      <c r="I223" s="26"/>
      <c r="J223" s="25"/>
      <c r="K223" s="27"/>
      <c r="L223" s="28" t="str">
        <f aca="false">IF($A223="","",$K223/(Settings!$B$4+Settings!$B$5+SUM($M$3:$M222)))</f>
        <v/>
      </c>
      <c r="M223" s="27"/>
      <c r="N223" s="29" t="str">
        <f aca="false">IF(OR($A223="",$K223=0),"",$M223/$K223)</f>
        <v/>
      </c>
      <c r="O223" s="27" t="str">
        <f aca="false">IF($A223="","",SUM($M$4:$M223))</f>
        <v/>
      </c>
      <c r="P223" s="25"/>
    </row>
    <row r="224" customFormat="false" ht="15" hidden="false" customHeight="false" outlineLevel="0" collapsed="false">
      <c r="A224" s="30"/>
      <c r="B224" s="16" t="str">
        <f aca="false">IF($A224="","",TEXT($A224,"YYYY-MM"))</f>
        <v/>
      </c>
      <c r="C224" s="31"/>
      <c r="D224" s="31"/>
      <c r="E224" s="31"/>
      <c r="F224" s="31"/>
      <c r="G224" s="32"/>
      <c r="H224" s="32"/>
      <c r="I224" s="32"/>
      <c r="J224" s="31"/>
      <c r="K224" s="22"/>
      <c r="L224" s="20" t="str">
        <f aca="false">IF($A224="","",$K224/(Settings!$B$4+Settings!$B$5+SUM($M$3:$M223)))</f>
        <v/>
      </c>
      <c r="M224" s="22"/>
      <c r="N224" s="21" t="str">
        <f aca="false">IF(OR($A224="",$K224=0),"",$M224/$K224)</f>
        <v/>
      </c>
      <c r="O224" s="22" t="str">
        <f aca="false">IF($A224="","",SUM($M$4:$M224))</f>
        <v/>
      </c>
      <c r="P224" s="31"/>
    </row>
    <row r="225" customFormat="false" ht="15" hidden="false" customHeight="false" outlineLevel="0" collapsed="false">
      <c r="A225" s="23"/>
      <c r="B225" s="24" t="str">
        <f aca="false">IF($A225="","",TEXT($A225,"YYYY-MM"))</f>
        <v/>
      </c>
      <c r="C225" s="25"/>
      <c r="D225" s="25"/>
      <c r="E225" s="25"/>
      <c r="F225" s="25"/>
      <c r="G225" s="26"/>
      <c r="H225" s="26"/>
      <c r="I225" s="26"/>
      <c r="J225" s="25"/>
      <c r="K225" s="27"/>
      <c r="L225" s="28" t="str">
        <f aca="false">IF($A225="","",$K225/(Settings!$B$4+Settings!$B$5+SUM($M$3:$M224)))</f>
        <v/>
      </c>
      <c r="M225" s="27"/>
      <c r="N225" s="29" t="str">
        <f aca="false">IF(OR($A225="",$K225=0),"",$M225/$K225)</f>
        <v/>
      </c>
      <c r="O225" s="27" t="str">
        <f aca="false">IF($A225="","",SUM($M$4:$M225))</f>
        <v/>
      </c>
      <c r="P225" s="25"/>
    </row>
    <row r="226" customFormat="false" ht="15" hidden="false" customHeight="false" outlineLevel="0" collapsed="false">
      <c r="A226" s="30"/>
      <c r="B226" s="16" t="str">
        <f aca="false">IF($A226="","",TEXT($A226,"YYYY-MM"))</f>
        <v/>
      </c>
      <c r="C226" s="31"/>
      <c r="D226" s="31"/>
      <c r="E226" s="31"/>
      <c r="F226" s="31"/>
      <c r="G226" s="32"/>
      <c r="H226" s="32"/>
      <c r="I226" s="32"/>
      <c r="J226" s="31"/>
      <c r="K226" s="22"/>
      <c r="L226" s="20" t="str">
        <f aca="false">IF($A226="","",$K226/(Settings!$B$4+Settings!$B$5+SUM($M$3:$M225)))</f>
        <v/>
      </c>
      <c r="M226" s="22"/>
      <c r="N226" s="21" t="str">
        <f aca="false">IF(OR($A226="",$K226=0),"",$M226/$K226)</f>
        <v/>
      </c>
      <c r="O226" s="22" t="str">
        <f aca="false">IF($A226="","",SUM($M$4:$M226))</f>
        <v/>
      </c>
      <c r="P226" s="31"/>
    </row>
    <row r="227" customFormat="false" ht="15" hidden="false" customHeight="false" outlineLevel="0" collapsed="false">
      <c r="A227" s="23"/>
      <c r="B227" s="24" t="str">
        <f aca="false">IF($A227="","",TEXT($A227,"YYYY-MM"))</f>
        <v/>
      </c>
      <c r="C227" s="25"/>
      <c r="D227" s="25"/>
      <c r="E227" s="25"/>
      <c r="F227" s="25"/>
      <c r="G227" s="26"/>
      <c r="H227" s="26"/>
      <c r="I227" s="26"/>
      <c r="J227" s="25"/>
      <c r="K227" s="27"/>
      <c r="L227" s="28" t="str">
        <f aca="false">IF($A227="","",$K227/(Settings!$B$4+Settings!$B$5+SUM($M$3:$M226)))</f>
        <v/>
      </c>
      <c r="M227" s="27"/>
      <c r="N227" s="29" t="str">
        <f aca="false">IF(OR($A227="",$K227=0),"",$M227/$K227)</f>
        <v/>
      </c>
      <c r="O227" s="27" t="str">
        <f aca="false">IF($A227="","",SUM($M$4:$M227))</f>
        <v/>
      </c>
      <c r="P227" s="25"/>
    </row>
    <row r="228" customFormat="false" ht="15" hidden="false" customHeight="false" outlineLevel="0" collapsed="false">
      <c r="A228" s="30"/>
      <c r="B228" s="16" t="str">
        <f aca="false">IF($A228="","",TEXT($A228,"YYYY-MM"))</f>
        <v/>
      </c>
      <c r="C228" s="31"/>
      <c r="D228" s="31"/>
      <c r="E228" s="31"/>
      <c r="F228" s="31"/>
      <c r="G228" s="32"/>
      <c r="H228" s="32"/>
      <c r="I228" s="32"/>
      <c r="J228" s="31"/>
      <c r="K228" s="22"/>
      <c r="L228" s="20" t="str">
        <f aca="false">IF($A228="","",$K228/(Settings!$B$4+Settings!$B$5+SUM($M$3:$M227)))</f>
        <v/>
      </c>
      <c r="M228" s="22"/>
      <c r="N228" s="21" t="str">
        <f aca="false">IF(OR($A228="",$K228=0),"",$M228/$K228)</f>
        <v/>
      </c>
      <c r="O228" s="22" t="str">
        <f aca="false">IF($A228="","",SUM($M$4:$M228))</f>
        <v/>
      </c>
      <c r="P228" s="31"/>
    </row>
    <row r="229" customFormat="false" ht="15" hidden="false" customHeight="false" outlineLevel="0" collapsed="false">
      <c r="A229" s="23"/>
      <c r="B229" s="24" t="str">
        <f aca="false">IF($A229="","",TEXT($A229,"YYYY-MM"))</f>
        <v/>
      </c>
      <c r="C229" s="25"/>
      <c r="D229" s="25"/>
      <c r="E229" s="25"/>
      <c r="F229" s="25"/>
      <c r="G229" s="26"/>
      <c r="H229" s="26"/>
      <c r="I229" s="26"/>
      <c r="J229" s="25"/>
      <c r="K229" s="27"/>
      <c r="L229" s="28" t="str">
        <f aca="false">IF($A229="","",$K229/(Settings!$B$4+Settings!$B$5+SUM($M$3:$M228)))</f>
        <v/>
      </c>
      <c r="M229" s="27"/>
      <c r="N229" s="29" t="str">
        <f aca="false">IF(OR($A229="",$K229=0),"",$M229/$K229)</f>
        <v/>
      </c>
      <c r="O229" s="27" t="str">
        <f aca="false">IF($A229="","",SUM($M$4:$M229))</f>
        <v/>
      </c>
      <c r="P229" s="25"/>
    </row>
    <row r="230" customFormat="false" ht="15" hidden="false" customHeight="false" outlineLevel="0" collapsed="false">
      <c r="A230" s="30"/>
      <c r="B230" s="16" t="str">
        <f aca="false">IF($A230="","",TEXT($A230,"YYYY-MM"))</f>
        <v/>
      </c>
      <c r="C230" s="31"/>
      <c r="D230" s="31"/>
      <c r="E230" s="31"/>
      <c r="F230" s="31"/>
      <c r="G230" s="32"/>
      <c r="H230" s="32"/>
      <c r="I230" s="32"/>
      <c r="J230" s="31"/>
      <c r="K230" s="22"/>
      <c r="L230" s="20" t="str">
        <f aca="false">IF($A230="","",$K230/(Settings!$B$4+Settings!$B$5+SUM($M$3:$M229)))</f>
        <v/>
      </c>
      <c r="M230" s="22"/>
      <c r="N230" s="21" t="str">
        <f aca="false">IF(OR($A230="",$K230=0),"",$M230/$K230)</f>
        <v/>
      </c>
      <c r="O230" s="22" t="str">
        <f aca="false">IF($A230="","",SUM($M$4:$M230))</f>
        <v/>
      </c>
      <c r="P230" s="31"/>
    </row>
    <row r="231" customFormat="false" ht="15" hidden="false" customHeight="false" outlineLevel="0" collapsed="false">
      <c r="A231" s="23"/>
      <c r="B231" s="24" t="str">
        <f aca="false">IF($A231="","",TEXT($A231,"YYYY-MM"))</f>
        <v/>
      </c>
      <c r="C231" s="25"/>
      <c r="D231" s="25"/>
      <c r="E231" s="25"/>
      <c r="F231" s="25"/>
      <c r="G231" s="26"/>
      <c r="H231" s="26"/>
      <c r="I231" s="26"/>
      <c r="J231" s="25"/>
      <c r="K231" s="27"/>
      <c r="L231" s="28" t="str">
        <f aca="false">IF($A231="","",$K231/(Settings!$B$4+Settings!$B$5+SUM($M$3:$M230)))</f>
        <v/>
      </c>
      <c r="M231" s="27"/>
      <c r="N231" s="29" t="str">
        <f aca="false">IF(OR($A231="",$K231=0),"",$M231/$K231)</f>
        <v/>
      </c>
      <c r="O231" s="27" t="str">
        <f aca="false">IF($A231="","",SUM($M$4:$M231))</f>
        <v/>
      </c>
      <c r="P231" s="25"/>
    </row>
    <row r="232" customFormat="false" ht="15" hidden="false" customHeight="false" outlineLevel="0" collapsed="false">
      <c r="A232" s="30"/>
      <c r="B232" s="16" t="str">
        <f aca="false">IF($A232="","",TEXT($A232,"YYYY-MM"))</f>
        <v/>
      </c>
      <c r="C232" s="31"/>
      <c r="D232" s="31"/>
      <c r="E232" s="31"/>
      <c r="F232" s="31"/>
      <c r="G232" s="32"/>
      <c r="H232" s="32"/>
      <c r="I232" s="32"/>
      <c r="J232" s="31"/>
      <c r="K232" s="22"/>
      <c r="L232" s="20" t="str">
        <f aca="false">IF($A232="","",$K232/(Settings!$B$4+Settings!$B$5+SUM($M$3:$M231)))</f>
        <v/>
      </c>
      <c r="M232" s="22"/>
      <c r="N232" s="21" t="str">
        <f aca="false">IF(OR($A232="",$K232=0),"",$M232/$K232)</f>
        <v/>
      </c>
      <c r="O232" s="22" t="str">
        <f aca="false">IF($A232="","",SUM($M$4:$M232))</f>
        <v/>
      </c>
      <c r="P232" s="31"/>
    </row>
    <row r="233" customFormat="false" ht="15" hidden="false" customHeight="false" outlineLevel="0" collapsed="false">
      <c r="A233" s="23"/>
      <c r="B233" s="24" t="str">
        <f aca="false">IF($A233="","",TEXT($A233,"YYYY-MM"))</f>
        <v/>
      </c>
      <c r="C233" s="25"/>
      <c r="D233" s="25"/>
      <c r="E233" s="25"/>
      <c r="F233" s="25"/>
      <c r="G233" s="26"/>
      <c r="H233" s="26"/>
      <c r="I233" s="26"/>
      <c r="J233" s="25"/>
      <c r="K233" s="27"/>
      <c r="L233" s="28" t="str">
        <f aca="false">IF($A233="","",$K233/(Settings!$B$4+Settings!$B$5+SUM($M$3:$M232)))</f>
        <v/>
      </c>
      <c r="M233" s="27"/>
      <c r="N233" s="29" t="str">
        <f aca="false">IF(OR($A233="",$K233=0),"",$M233/$K233)</f>
        <v/>
      </c>
      <c r="O233" s="27" t="str">
        <f aca="false">IF($A233="","",SUM($M$4:$M233))</f>
        <v/>
      </c>
      <c r="P233" s="25"/>
    </row>
    <row r="234" customFormat="false" ht="15" hidden="false" customHeight="false" outlineLevel="0" collapsed="false">
      <c r="A234" s="30"/>
      <c r="B234" s="16" t="str">
        <f aca="false">IF($A234="","",TEXT($A234,"YYYY-MM"))</f>
        <v/>
      </c>
      <c r="C234" s="31"/>
      <c r="D234" s="31"/>
      <c r="E234" s="31"/>
      <c r="F234" s="31"/>
      <c r="G234" s="32"/>
      <c r="H234" s="32"/>
      <c r="I234" s="32"/>
      <c r="J234" s="31"/>
      <c r="K234" s="22"/>
      <c r="L234" s="20" t="str">
        <f aca="false">IF($A234="","",$K234/(Settings!$B$4+Settings!$B$5+SUM($M$3:$M233)))</f>
        <v/>
      </c>
      <c r="M234" s="22"/>
      <c r="N234" s="21" t="str">
        <f aca="false">IF(OR($A234="",$K234=0),"",$M234/$K234)</f>
        <v/>
      </c>
      <c r="O234" s="22" t="str">
        <f aca="false">IF($A234="","",SUM($M$4:$M234))</f>
        <v/>
      </c>
      <c r="P234" s="31"/>
    </row>
    <row r="235" customFormat="false" ht="15" hidden="false" customHeight="false" outlineLevel="0" collapsed="false">
      <c r="A235" s="23"/>
      <c r="B235" s="24" t="str">
        <f aca="false">IF($A235="","",TEXT($A235,"YYYY-MM"))</f>
        <v/>
      </c>
      <c r="C235" s="25"/>
      <c r="D235" s="25"/>
      <c r="E235" s="25"/>
      <c r="F235" s="25"/>
      <c r="G235" s="26"/>
      <c r="H235" s="26"/>
      <c r="I235" s="26"/>
      <c r="J235" s="25"/>
      <c r="K235" s="27"/>
      <c r="L235" s="28" t="str">
        <f aca="false">IF($A235="","",$K235/(Settings!$B$4+Settings!$B$5+SUM($M$3:$M234)))</f>
        <v/>
      </c>
      <c r="M235" s="27"/>
      <c r="N235" s="29" t="str">
        <f aca="false">IF(OR($A235="",$K235=0),"",$M235/$K235)</f>
        <v/>
      </c>
      <c r="O235" s="27" t="str">
        <f aca="false">IF($A235="","",SUM($M$4:$M235))</f>
        <v/>
      </c>
      <c r="P235" s="25"/>
    </row>
    <row r="236" customFormat="false" ht="15" hidden="false" customHeight="false" outlineLevel="0" collapsed="false">
      <c r="A236" s="30"/>
      <c r="B236" s="16" t="str">
        <f aca="false">IF($A236="","",TEXT($A236,"YYYY-MM"))</f>
        <v/>
      </c>
      <c r="C236" s="31"/>
      <c r="D236" s="31"/>
      <c r="E236" s="31"/>
      <c r="F236" s="31"/>
      <c r="G236" s="32"/>
      <c r="H236" s="32"/>
      <c r="I236" s="32"/>
      <c r="J236" s="31"/>
      <c r="K236" s="22"/>
      <c r="L236" s="20" t="str">
        <f aca="false">IF($A236="","",$K236/(Settings!$B$4+Settings!$B$5+SUM($M$3:$M235)))</f>
        <v/>
      </c>
      <c r="M236" s="22"/>
      <c r="N236" s="21" t="str">
        <f aca="false">IF(OR($A236="",$K236=0),"",$M236/$K236)</f>
        <v/>
      </c>
      <c r="O236" s="22" t="str">
        <f aca="false">IF($A236="","",SUM($M$4:$M236))</f>
        <v/>
      </c>
      <c r="P236" s="31"/>
    </row>
    <row r="237" customFormat="false" ht="15" hidden="false" customHeight="false" outlineLevel="0" collapsed="false">
      <c r="A237" s="23"/>
      <c r="B237" s="24" t="str">
        <f aca="false">IF($A237="","",TEXT($A237,"YYYY-MM"))</f>
        <v/>
      </c>
      <c r="C237" s="25"/>
      <c r="D237" s="25"/>
      <c r="E237" s="25"/>
      <c r="F237" s="25"/>
      <c r="G237" s="26"/>
      <c r="H237" s="26"/>
      <c r="I237" s="26"/>
      <c r="J237" s="25"/>
      <c r="K237" s="27"/>
      <c r="L237" s="28" t="str">
        <f aca="false">IF($A237="","",$K237/(Settings!$B$4+Settings!$B$5+SUM($M$3:$M236)))</f>
        <v/>
      </c>
      <c r="M237" s="27"/>
      <c r="N237" s="29" t="str">
        <f aca="false">IF(OR($A237="",$K237=0),"",$M237/$K237)</f>
        <v/>
      </c>
      <c r="O237" s="27" t="str">
        <f aca="false">IF($A237="","",SUM($M$4:$M237))</f>
        <v/>
      </c>
      <c r="P237" s="25"/>
    </row>
    <row r="238" customFormat="false" ht="15" hidden="false" customHeight="false" outlineLevel="0" collapsed="false">
      <c r="A238" s="30"/>
      <c r="B238" s="16" t="str">
        <f aca="false">IF($A238="","",TEXT($A238,"YYYY-MM"))</f>
        <v/>
      </c>
      <c r="C238" s="31"/>
      <c r="D238" s="31"/>
      <c r="E238" s="31"/>
      <c r="F238" s="31"/>
      <c r="G238" s="32"/>
      <c r="H238" s="32"/>
      <c r="I238" s="32"/>
      <c r="J238" s="31"/>
      <c r="K238" s="22"/>
      <c r="L238" s="20" t="str">
        <f aca="false">IF($A238="","",$K238/(Settings!$B$4+Settings!$B$5+SUM($M$3:$M237)))</f>
        <v/>
      </c>
      <c r="M238" s="22"/>
      <c r="N238" s="21" t="str">
        <f aca="false">IF(OR($A238="",$K238=0),"",$M238/$K238)</f>
        <v/>
      </c>
      <c r="O238" s="22" t="str">
        <f aca="false">IF($A238="","",SUM($M$4:$M238))</f>
        <v/>
      </c>
      <c r="P238" s="31"/>
    </row>
    <row r="239" customFormat="false" ht="15" hidden="false" customHeight="false" outlineLevel="0" collapsed="false">
      <c r="A239" s="23"/>
      <c r="B239" s="24" t="str">
        <f aca="false">IF($A239="","",TEXT($A239,"YYYY-MM"))</f>
        <v/>
      </c>
      <c r="C239" s="25"/>
      <c r="D239" s="25"/>
      <c r="E239" s="25"/>
      <c r="F239" s="25"/>
      <c r="G239" s="26"/>
      <c r="H239" s="26"/>
      <c r="I239" s="26"/>
      <c r="J239" s="25"/>
      <c r="K239" s="27"/>
      <c r="L239" s="28" t="str">
        <f aca="false">IF($A239="","",$K239/(Settings!$B$4+Settings!$B$5+SUM($M$3:$M238)))</f>
        <v/>
      </c>
      <c r="M239" s="27"/>
      <c r="N239" s="29" t="str">
        <f aca="false">IF(OR($A239="",$K239=0),"",$M239/$K239)</f>
        <v/>
      </c>
      <c r="O239" s="27" t="str">
        <f aca="false">IF($A239="","",SUM($M$4:$M239))</f>
        <v/>
      </c>
      <c r="P239" s="25"/>
    </row>
    <row r="240" customFormat="false" ht="15" hidden="false" customHeight="false" outlineLevel="0" collapsed="false">
      <c r="A240" s="30"/>
      <c r="B240" s="16" t="str">
        <f aca="false">IF($A240="","",TEXT($A240,"YYYY-MM"))</f>
        <v/>
      </c>
      <c r="C240" s="31"/>
      <c r="D240" s="31"/>
      <c r="E240" s="31"/>
      <c r="F240" s="31"/>
      <c r="G240" s="32"/>
      <c r="H240" s="32"/>
      <c r="I240" s="32"/>
      <c r="J240" s="31"/>
      <c r="K240" s="22"/>
      <c r="L240" s="20" t="str">
        <f aca="false">IF($A240="","",$K240/(Settings!$B$4+Settings!$B$5+SUM($M$3:$M239)))</f>
        <v/>
      </c>
      <c r="M240" s="22"/>
      <c r="N240" s="21" t="str">
        <f aca="false">IF(OR($A240="",$K240=0),"",$M240/$K240)</f>
        <v/>
      </c>
      <c r="O240" s="22" t="str">
        <f aca="false">IF($A240="","",SUM($M$4:$M240))</f>
        <v/>
      </c>
      <c r="P240" s="31"/>
    </row>
    <row r="241" customFormat="false" ht="15" hidden="false" customHeight="false" outlineLevel="0" collapsed="false">
      <c r="A241" s="23"/>
      <c r="B241" s="24" t="str">
        <f aca="false">IF($A241="","",TEXT($A241,"YYYY-MM"))</f>
        <v/>
      </c>
      <c r="C241" s="25"/>
      <c r="D241" s="25"/>
      <c r="E241" s="25"/>
      <c r="F241" s="25"/>
      <c r="G241" s="26"/>
      <c r="H241" s="26"/>
      <c r="I241" s="26"/>
      <c r="J241" s="25"/>
      <c r="K241" s="27"/>
      <c r="L241" s="28" t="str">
        <f aca="false">IF($A241="","",$K241/(Settings!$B$4+Settings!$B$5+SUM($M$3:$M240)))</f>
        <v/>
      </c>
      <c r="M241" s="27"/>
      <c r="N241" s="29" t="str">
        <f aca="false">IF(OR($A241="",$K241=0),"",$M241/$K241)</f>
        <v/>
      </c>
      <c r="O241" s="27" t="str">
        <f aca="false">IF($A241="","",SUM($M$4:$M241))</f>
        <v/>
      </c>
      <c r="P241" s="25"/>
    </row>
    <row r="242" customFormat="false" ht="15" hidden="false" customHeight="false" outlineLevel="0" collapsed="false">
      <c r="A242" s="30"/>
      <c r="B242" s="16" t="str">
        <f aca="false">IF($A242="","",TEXT($A242,"YYYY-MM"))</f>
        <v/>
      </c>
      <c r="C242" s="31"/>
      <c r="D242" s="31"/>
      <c r="E242" s="31"/>
      <c r="F242" s="31"/>
      <c r="G242" s="32"/>
      <c r="H242" s="32"/>
      <c r="I242" s="32"/>
      <c r="J242" s="31"/>
      <c r="K242" s="22"/>
      <c r="L242" s="20" t="str">
        <f aca="false">IF($A242="","",$K242/(Settings!$B$4+Settings!$B$5+SUM($M$3:$M241)))</f>
        <v/>
      </c>
      <c r="M242" s="22"/>
      <c r="N242" s="21" t="str">
        <f aca="false">IF(OR($A242="",$K242=0),"",$M242/$K242)</f>
        <v/>
      </c>
      <c r="O242" s="22" t="str">
        <f aca="false">IF($A242="","",SUM($M$4:$M242))</f>
        <v/>
      </c>
      <c r="P242" s="31"/>
    </row>
    <row r="243" customFormat="false" ht="15" hidden="false" customHeight="false" outlineLevel="0" collapsed="false">
      <c r="A243" s="23"/>
      <c r="B243" s="24" t="str">
        <f aca="false">IF($A243="","",TEXT($A243,"YYYY-MM"))</f>
        <v/>
      </c>
      <c r="C243" s="25"/>
      <c r="D243" s="25"/>
      <c r="E243" s="25"/>
      <c r="F243" s="25"/>
      <c r="G243" s="26"/>
      <c r="H243" s="26"/>
      <c r="I243" s="26"/>
      <c r="J243" s="25"/>
      <c r="K243" s="27"/>
      <c r="L243" s="28" t="str">
        <f aca="false">IF($A243="","",$K243/(Settings!$B$4+Settings!$B$5+SUM($M$3:$M242)))</f>
        <v/>
      </c>
      <c r="M243" s="27"/>
      <c r="N243" s="29" t="str">
        <f aca="false">IF(OR($A243="",$K243=0),"",$M243/$K243)</f>
        <v/>
      </c>
      <c r="O243" s="27" t="str">
        <f aca="false">IF($A243="","",SUM($M$4:$M243))</f>
        <v/>
      </c>
      <c r="P243" s="25"/>
    </row>
    <row r="244" customFormat="false" ht="15" hidden="false" customHeight="false" outlineLevel="0" collapsed="false">
      <c r="A244" s="30"/>
      <c r="B244" s="16" t="str">
        <f aca="false">IF($A244="","",TEXT($A244,"YYYY-MM"))</f>
        <v/>
      </c>
      <c r="C244" s="31"/>
      <c r="D244" s="31"/>
      <c r="E244" s="31"/>
      <c r="F244" s="31"/>
      <c r="G244" s="32"/>
      <c r="H244" s="32"/>
      <c r="I244" s="32"/>
      <c r="J244" s="31"/>
      <c r="K244" s="22"/>
      <c r="L244" s="20" t="str">
        <f aca="false">IF($A244="","",$K244/(Settings!$B$4+Settings!$B$5+SUM($M$3:$M243)))</f>
        <v/>
      </c>
      <c r="M244" s="22"/>
      <c r="N244" s="21" t="str">
        <f aca="false">IF(OR($A244="",$K244=0),"",$M244/$K244)</f>
        <v/>
      </c>
      <c r="O244" s="22" t="str">
        <f aca="false">IF($A244="","",SUM($M$4:$M244))</f>
        <v/>
      </c>
      <c r="P244" s="31"/>
    </row>
    <row r="245" customFormat="false" ht="15" hidden="false" customHeight="false" outlineLevel="0" collapsed="false">
      <c r="A245" s="23"/>
      <c r="B245" s="24" t="str">
        <f aca="false">IF($A245="","",TEXT($A245,"YYYY-MM"))</f>
        <v/>
      </c>
      <c r="C245" s="25"/>
      <c r="D245" s="25"/>
      <c r="E245" s="25"/>
      <c r="F245" s="25"/>
      <c r="G245" s="26"/>
      <c r="H245" s="26"/>
      <c r="I245" s="26"/>
      <c r="J245" s="25"/>
      <c r="K245" s="27"/>
      <c r="L245" s="28" t="str">
        <f aca="false">IF($A245="","",$K245/(Settings!$B$4+Settings!$B$5+SUM($M$3:$M244)))</f>
        <v/>
      </c>
      <c r="M245" s="27"/>
      <c r="N245" s="29" t="str">
        <f aca="false">IF(OR($A245="",$K245=0),"",$M245/$K245)</f>
        <v/>
      </c>
      <c r="O245" s="27" t="str">
        <f aca="false">IF($A245="","",SUM($M$4:$M245))</f>
        <v/>
      </c>
      <c r="P245" s="25"/>
    </row>
    <row r="246" customFormat="false" ht="15" hidden="false" customHeight="false" outlineLevel="0" collapsed="false">
      <c r="A246" s="30"/>
      <c r="B246" s="16" t="str">
        <f aca="false">IF($A246="","",TEXT($A246,"YYYY-MM"))</f>
        <v/>
      </c>
      <c r="C246" s="31"/>
      <c r="D246" s="31"/>
      <c r="E246" s="31"/>
      <c r="F246" s="31"/>
      <c r="G246" s="32"/>
      <c r="H246" s="32"/>
      <c r="I246" s="32"/>
      <c r="J246" s="31"/>
      <c r="K246" s="22"/>
      <c r="L246" s="20" t="str">
        <f aca="false">IF($A246="","",$K246/(Settings!$B$4+Settings!$B$5+SUM($M$3:$M245)))</f>
        <v/>
      </c>
      <c r="M246" s="22"/>
      <c r="N246" s="21" t="str">
        <f aca="false">IF(OR($A246="",$K246=0),"",$M246/$K246)</f>
        <v/>
      </c>
      <c r="O246" s="22" t="str">
        <f aca="false">IF($A246="","",SUM($M$4:$M246))</f>
        <v/>
      </c>
      <c r="P246" s="31"/>
    </row>
    <row r="247" customFormat="false" ht="15" hidden="false" customHeight="false" outlineLevel="0" collapsed="false">
      <c r="A247" s="23"/>
      <c r="B247" s="24" t="str">
        <f aca="false">IF($A247="","",TEXT($A247,"YYYY-MM"))</f>
        <v/>
      </c>
      <c r="C247" s="25"/>
      <c r="D247" s="25"/>
      <c r="E247" s="25"/>
      <c r="F247" s="25"/>
      <c r="G247" s="26"/>
      <c r="H247" s="26"/>
      <c r="I247" s="26"/>
      <c r="J247" s="25"/>
      <c r="K247" s="27"/>
      <c r="L247" s="28" t="str">
        <f aca="false">IF($A247="","",$K247/(Settings!$B$4+Settings!$B$5+SUM($M$3:$M246)))</f>
        <v/>
      </c>
      <c r="M247" s="27"/>
      <c r="N247" s="29" t="str">
        <f aca="false">IF(OR($A247="",$K247=0),"",$M247/$K247)</f>
        <v/>
      </c>
      <c r="O247" s="27" t="str">
        <f aca="false">IF($A247="","",SUM($M$4:$M247))</f>
        <v/>
      </c>
      <c r="P247" s="25"/>
    </row>
    <row r="248" customFormat="false" ht="15" hidden="false" customHeight="false" outlineLevel="0" collapsed="false">
      <c r="A248" s="30"/>
      <c r="B248" s="16" t="str">
        <f aca="false">IF($A248="","",TEXT($A248,"YYYY-MM"))</f>
        <v/>
      </c>
      <c r="C248" s="31"/>
      <c r="D248" s="31"/>
      <c r="E248" s="31"/>
      <c r="F248" s="31"/>
      <c r="G248" s="32"/>
      <c r="H248" s="32"/>
      <c r="I248" s="32"/>
      <c r="J248" s="31"/>
      <c r="K248" s="22"/>
      <c r="L248" s="20" t="str">
        <f aca="false">IF($A248="","",$K248/(Settings!$B$4+Settings!$B$5+SUM($M$3:$M247)))</f>
        <v/>
      </c>
      <c r="M248" s="22"/>
      <c r="N248" s="21" t="str">
        <f aca="false">IF(OR($A248="",$K248=0),"",$M248/$K248)</f>
        <v/>
      </c>
      <c r="O248" s="22" t="str">
        <f aca="false">IF($A248="","",SUM($M$4:$M248))</f>
        <v/>
      </c>
      <c r="P248" s="31"/>
    </row>
    <row r="249" customFormat="false" ht="15" hidden="false" customHeight="false" outlineLevel="0" collapsed="false">
      <c r="A249" s="23"/>
      <c r="B249" s="24" t="str">
        <f aca="false">IF($A249="","",TEXT($A249,"YYYY-MM"))</f>
        <v/>
      </c>
      <c r="C249" s="25"/>
      <c r="D249" s="25"/>
      <c r="E249" s="25"/>
      <c r="F249" s="25"/>
      <c r="G249" s="26"/>
      <c r="H249" s="26"/>
      <c r="I249" s="26"/>
      <c r="J249" s="25"/>
      <c r="K249" s="27"/>
      <c r="L249" s="28" t="str">
        <f aca="false">IF($A249="","",$K249/(Settings!$B$4+Settings!$B$5+SUM($M$3:$M248)))</f>
        <v/>
      </c>
      <c r="M249" s="27"/>
      <c r="N249" s="29" t="str">
        <f aca="false">IF(OR($A249="",$K249=0),"",$M249/$K249)</f>
        <v/>
      </c>
      <c r="O249" s="27" t="str">
        <f aca="false">IF($A249="","",SUM($M$4:$M249))</f>
        <v/>
      </c>
      <c r="P249" s="25"/>
    </row>
    <row r="250" customFormat="false" ht="15" hidden="false" customHeight="false" outlineLevel="0" collapsed="false">
      <c r="A250" s="30"/>
      <c r="B250" s="16" t="str">
        <f aca="false">IF($A250="","",TEXT($A250,"YYYY-MM"))</f>
        <v/>
      </c>
      <c r="C250" s="31"/>
      <c r="D250" s="31"/>
      <c r="E250" s="31"/>
      <c r="F250" s="31"/>
      <c r="G250" s="32"/>
      <c r="H250" s="32"/>
      <c r="I250" s="32"/>
      <c r="J250" s="31"/>
      <c r="K250" s="22"/>
      <c r="L250" s="20" t="str">
        <f aca="false">IF($A250="","",$K250/(Settings!$B$4+Settings!$B$5+SUM($M$3:$M249)))</f>
        <v/>
      </c>
      <c r="M250" s="22"/>
      <c r="N250" s="21" t="str">
        <f aca="false">IF(OR($A250="",$K250=0),"",$M250/$K250)</f>
        <v/>
      </c>
      <c r="O250" s="22" t="str">
        <f aca="false">IF($A250="","",SUM($M$4:$M250))</f>
        <v/>
      </c>
      <c r="P250" s="31"/>
    </row>
    <row r="251" customFormat="false" ht="15" hidden="false" customHeight="false" outlineLevel="0" collapsed="false">
      <c r="A251" s="23"/>
      <c r="B251" s="24" t="str">
        <f aca="false">IF($A251="","",TEXT($A251,"YYYY-MM"))</f>
        <v/>
      </c>
      <c r="C251" s="25"/>
      <c r="D251" s="25"/>
      <c r="E251" s="25"/>
      <c r="F251" s="25"/>
      <c r="G251" s="26"/>
      <c r="H251" s="26"/>
      <c r="I251" s="26"/>
      <c r="J251" s="25"/>
      <c r="K251" s="27"/>
      <c r="L251" s="28" t="str">
        <f aca="false">IF($A251="","",$K251/(Settings!$B$4+Settings!$B$5+SUM($M$3:$M250)))</f>
        <v/>
      </c>
      <c r="M251" s="27"/>
      <c r="N251" s="29" t="str">
        <f aca="false">IF(OR($A251="",$K251=0),"",$M251/$K251)</f>
        <v/>
      </c>
      <c r="O251" s="27" t="str">
        <f aca="false">IF($A251="","",SUM($M$4:$M251))</f>
        <v/>
      </c>
      <c r="P251" s="25"/>
    </row>
    <row r="252" customFormat="false" ht="15" hidden="false" customHeight="false" outlineLevel="0" collapsed="false">
      <c r="A252" s="30"/>
      <c r="B252" s="16" t="str">
        <f aca="false">IF($A252="","",TEXT($A252,"YYYY-MM"))</f>
        <v/>
      </c>
      <c r="C252" s="31"/>
      <c r="D252" s="31"/>
      <c r="E252" s="31"/>
      <c r="F252" s="31"/>
      <c r="G252" s="32"/>
      <c r="H252" s="32"/>
      <c r="I252" s="32"/>
      <c r="J252" s="31"/>
      <c r="K252" s="22"/>
      <c r="L252" s="20" t="str">
        <f aca="false">IF($A252="","",$K252/(Settings!$B$4+Settings!$B$5+SUM($M$3:$M251)))</f>
        <v/>
      </c>
      <c r="M252" s="22"/>
      <c r="N252" s="21" t="str">
        <f aca="false">IF(OR($A252="",$K252=0),"",$M252/$K252)</f>
        <v/>
      </c>
      <c r="O252" s="22" t="str">
        <f aca="false">IF($A252="","",SUM($M$4:$M252))</f>
        <v/>
      </c>
      <c r="P252" s="31"/>
    </row>
    <row r="253" customFormat="false" ht="15" hidden="false" customHeight="false" outlineLevel="0" collapsed="false">
      <c r="A253" s="23"/>
      <c r="B253" s="24" t="str">
        <f aca="false">IF($A253="","",TEXT($A253,"YYYY-MM"))</f>
        <v/>
      </c>
      <c r="C253" s="25"/>
      <c r="D253" s="25"/>
      <c r="E253" s="25"/>
      <c r="F253" s="25"/>
      <c r="G253" s="26"/>
      <c r="H253" s="26"/>
      <c r="I253" s="26"/>
      <c r="J253" s="25"/>
      <c r="K253" s="27"/>
      <c r="L253" s="28" t="str">
        <f aca="false">IF($A253="","",$K253/(Settings!$B$4+Settings!$B$5+SUM($M$3:$M252)))</f>
        <v/>
      </c>
      <c r="M253" s="27"/>
      <c r="N253" s="29" t="str">
        <f aca="false">IF(OR($A253="",$K253=0),"",$M253/$K253)</f>
        <v/>
      </c>
      <c r="O253" s="27" t="str">
        <f aca="false">IF($A253="","",SUM($M$4:$M253))</f>
        <v/>
      </c>
      <c r="P253" s="25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15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4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5" t="s">
        <v>71</v>
      </c>
      <c r="B3" s="5" t="s">
        <v>50</v>
      </c>
      <c r="C3" s="5" t="s">
        <v>72</v>
      </c>
      <c r="D3" s="5" t="s">
        <v>73</v>
      </c>
      <c r="E3" s="5" t="s">
        <v>74</v>
      </c>
      <c r="F3" s="5" t="s">
        <v>61</v>
      </c>
      <c r="G3" s="5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80</v>
      </c>
      <c r="M3" s="5" t="s">
        <v>81</v>
      </c>
      <c r="N3" s="5" t="s">
        <v>82</v>
      </c>
    </row>
    <row r="4" customFormat="false" ht="15" hidden="false" customHeight="false" outlineLevel="0" collapsed="false">
      <c r="A4" s="33" t="n">
        <v>1</v>
      </c>
      <c r="B4" s="12" t="n">
        <f aca="false">EDATE(Settings!$B$11,0)</f>
        <v>46174</v>
      </c>
      <c r="C4" s="34" t="n">
        <f aca="false">Settings!$B$4</f>
        <v>0</v>
      </c>
      <c r="D4" s="34" t="n">
        <f aca="false">Settings!$B$5</f>
        <v>10000</v>
      </c>
      <c r="E4" s="34" t="n">
        <f aca="false">C4+D4</f>
        <v>10000</v>
      </c>
      <c r="F4" s="34" t="n">
        <f aca="false">SUMIFS('Trade Log'!$M:$M,'Trade Log'!$B:$B,TEXT(B4,"YYYY-MM"))</f>
        <v>540</v>
      </c>
      <c r="G4" s="34" t="n">
        <f aca="false">IF(F4&gt;=0,Settings!$B$6*F4,F4)</f>
        <v>270</v>
      </c>
      <c r="H4" s="34" t="n">
        <f aca="false">IF(F4&gt;=0,Settings!$B$7*F4,0)</f>
        <v>270</v>
      </c>
      <c r="I4" s="34" t="n">
        <f aca="false">E4+G4</f>
        <v>10270</v>
      </c>
      <c r="J4" s="34" t="n">
        <f aca="false">H4</f>
        <v>270</v>
      </c>
      <c r="K4" s="34" t="n">
        <f aca="false">Settings!$B$10</f>
        <v>100000</v>
      </c>
      <c r="L4" s="10" t="n">
        <f aca="false">IF(K4=0,"",F4/K4)</f>
        <v>0.0054</v>
      </c>
      <c r="M4" s="10" t="n">
        <f aca="false">IF(E4=0,"",K4/E4)</f>
        <v>10</v>
      </c>
      <c r="N4" s="35" t="str">
        <f aca="false">IF(E4=0,"",IF(K4/E4&gt;1,"Unrealistic",IF(K4/E4&gt;0.2,"Very aggressive","Plausible")))</f>
        <v>Unrealistic</v>
      </c>
    </row>
    <row r="5" customFormat="false" ht="15" hidden="false" customHeight="false" outlineLevel="0" collapsed="false">
      <c r="A5" s="33" t="n">
        <v>2</v>
      </c>
      <c r="B5" s="12" t="n">
        <f aca="false">EDATE(Settings!$B$11,1)</f>
        <v>46204</v>
      </c>
      <c r="C5" s="34" t="n">
        <f aca="false">I4</f>
        <v>10270</v>
      </c>
      <c r="D5" s="34" t="n">
        <f aca="false">Settings!$B$5</f>
        <v>10000</v>
      </c>
      <c r="E5" s="34" t="n">
        <f aca="false">C5+D5</f>
        <v>20270</v>
      </c>
      <c r="F5" s="34" t="n">
        <f aca="false">SUMIFS('Trade Log'!$M:$M,'Trade Log'!$B:$B,TEXT(B5,"YYYY-MM"))</f>
        <v>0</v>
      </c>
      <c r="G5" s="34" t="n">
        <f aca="false">IF(F5&gt;=0,Settings!$B$6*F5,F5)</f>
        <v>0</v>
      </c>
      <c r="H5" s="34" t="n">
        <f aca="false">IF(F5&gt;=0,Settings!$B$7*F5,0)</f>
        <v>0</v>
      </c>
      <c r="I5" s="34" t="n">
        <f aca="false">E5+G5</f>
        <v>20270</v>
      </c>
      <c r="J5" s="34" t="n">
        <f aca="false">J4+H5</f>
        <v>270</v>
      </c>
      <c r="K5" s="34" t="n">
        <f aca="false">Settings!$B$10</f>
        <v>100000</v>
      </c>
      <c r="L5" s="10" t="n">
        <f aca="false">IF(K5=0,"",F5/K5)</f>
        <v>0</v>
      </c>
      <c r="M5" s="10" t="n">
        <f aca="false">IF(E5=0,"",K5/E5)</f>
        <v>4.93339911198816</v>
      </c>
      <c r="N5" s="35" t="str">
        <f aca="false">IF(E5=0,"",IF(K5/E5&gt;1,"Unrealistic",IF(K5/E5&gt;0.2,"Very aggressive","Plausible")))</f>
        <v>Unrealistic</v>
      </c>
    </row>
    <row r="6" customFormat="false" ht="15" hidden="false" customHeight="false" outlineLevel="0" collapsed="false">
      <c r="A6" s="33" t="n">
        <v>3</v>
      </c>
      <c r="B6" s="12" t="n">
        <f aca="false">EDATE(Settings!$B$11,2)</f>
        <v>46235</v>
      </c>
      <c r="C6" s="34" t="n">
        <f aca="false">I5</f>
        <v>20270</v>
      </c>
      <c r="D6" s="34" t="n">
        <f aca="false">Settings!$B$5</f>
        <v>10000</v>
      </c>
      <c r="E6" s="34" t="n">
        <f aca="false">C6+D6</f>
        <v>30270</v>
      </c>
      <c r="F6" s="34" t="n">
        <f aca="false">SUMIFS('Trade Log'!$M:$M,'Trade Log'!$B:$B,TEXT(B6,"YYYY-MM"))</f>
        <v>0</v>
      </c>
      <c r="G6" s="34" t="n">
        <f aca="false">IF(F6&gt;=0,Settings!$B$6*F6,F6)</f>
        <v>0</v>
      </c>
      <c r="H6" s="34" t="n">
        <f aca="false">IF(F6&gt;=0,Settings!$B$7*F6,0)</f>
        <v>0</v>
      </c>
      <c r="I6" s="34" t="n">
        <f aca="false">E6+G6</f>
        <v>30270</v>
      </c>
      <c r="J6" s="34" t="n">
        <f aca="false">J5+H6</f>
        <v>270</v>
      </c>
      <c r="K6" s="34" t="n">
        <f aca="false">Settings!$B$10</f>
        <v>100000</v>
      </c>
      <c r="L6" s="10" t="n">
        <f aca="false">IF(K6=0,"",F6/K6)</f>
        <v>0</v>
      </c>
      <c r="M6" s="10" t="n">
        <f aca="false">IF(E6=0,"",K6/E6)</f>
        <v>3.30360092500826</v>
      </c>
      <c r="N6" s="35" t="str">
        <f aca="false">IF(E6=0,"",IF(K6/E6&gt;1,"Unrealistic",IF(K6/E6&gt;0.2,"Very aggressive","Plausible")))</f>
        <v>Unrealistic</v>
      </c>
    </row>
    <row r="7" customFormat="false" ht="15" hidden="false" customHeight="false" outlineLevel="0" collapsed="false">
      <c r="A7" s="33" t="n">
        <v>4</v>
      </c>
      <c r="B7" s="12" t="n">
        <f aca="false">EDATE(Settings!$B$11,3)</f>
        <v>46266</v>
      </c>
      <c r="C7" s="34" t="n">
        <f aca="false">I6</f>
        <v>30270</v>
      </c>
      <c r="D7" s="34" t="n">
        <f aca="false">Settings!$B$5</f>
        <v>10000</v>
      </c>
      <c r="E7" s="34" t="n">
        <f aca="false">C7+D7</f>
        <v>40270</v>
      </c>
      <c r="F7" s="34" t="n">
        <f aca="false">SUMIFS('Trade Log'!$M:$M,'Trade Log'!$B:$B,TEXT(B7,"YYYY-MM"))</f>
        <v>0</v>
      </c>
      <c r="G7" s="34" t="n">
        <f aca="false">IF(F7&gt;=0,Settings!$B$6*F7,F7)</f>
        <v>0</v>
      </c>
      <c r="H7" s="34" t="n">
        <f aca="false">IF(F7&gt;=0,Settings!$B$7*F7,0)</f>
        <v>0</v>
      </c>
      <c r="I7" s="34" t="n">
        <f aca="false">E7+G7</f>
        <v>40270</v>
      </c>
      <c r="J7" s="34" t="n">
        <f aca="false">J6+H7</f>
        <v>270</v>
      </c>
      <c r="K7" s="34" t="n">
        <f aca="false">Settings!$B$10</f>
        <v>100000</v>
      </c>
      <c r="L7" s="10" t="n">
        <f aca="false">IF(K7=0,"",F7/K7)</f>
        <v>0</v>
      </c>
      <c r="M7" s="10" t="n">
        <f aca="false">IF(E7=0,"",K7/E7)</f>
        <v>2.48323814253787</v>
      </c>
      <c r="N7" s="35" t="str">
        <f aca="false">IF(E7=0,"",IF(K7/E7&gt;1,"Unrealistic",IF(K7/E7&gt;0.2,"Very aggressive","Plausible")))</f>
        <v>Unrealistic</v>
      </c>
    </row>
    <row r="8" customFormat="false" ht="15" hidden="false" customHeight="false" outlineLevel="0" collapsed="false">
      <c r="A8" s="33" t="n">
        <v>5</v>
      </c>
      <c r="B8" s="12" t="n">
        <f aca="false">EDATE(Settings!$B$11,4)</f>
        <v>46296</v>
      </c>
      <c r="C8" s="34" t="n">
        <f aca="false">I7</f>
        <v>40270</v>
      </c>
      <c r="D8" s="34" t="n">
        <f aca="false">Settings!$B$5</f>
        <v>10000</v>
      </c>
      <c r="E8" s="34" t="n">
        <f aca="false">C8+D8</f>
        <v>50270</v>
      </c>
      <c r="F8" s="34" t="n">
        <f aca="false">SUMIFS('Trade Log'!$M:$M,'Trade Log'!$B:$B,TEXT(B8,"YYYY-MM"))</f>
        <v>0</v>
      </c>
      <c r="G8" s="34" t="n">
        <f aca="false">IF(F8&gt;=0,Settings!$B$6*F8,F8)</f>
        <v>0</v>
      </c>
      <c r="H8" s="34" t="n">
        <f aca="false">IF(F8&gt;=0,Settings!$B$7*F8,0)</f>
        <v>0</v>
      </c>
      <c r="I8" s="34" t="n">
        <f aca="false">E8+G8</f>
        <v>50270</v>
      </c>
      <c r="J8" s="34" t="n">
        <f aca="false">J7+H8</f>
        <v>270</v>
      </c>
      <c r="K8" s="34" t="n">
        <f aca="false">Settings!$B$10</f>
        <v>100000</v>
      </c>
      <c r="L8" s="10" t="n">
        <f aca="false">IF(K8=0,"",F8/K8)</f>
        <v>0</v>
      </c>
      <c r="M8" s="10" t="n">
        <f aca="false">IF(E8=0,"",K8/E8)</f>
        <v>1.98925800676348</v>
      </c>
      <c r="N8" s="35" t="str">
        <f aca="false">IF(E8=0,"",IF(K8/E8&gt;1,"Unrealistic",IF(K8/E8&gt;0.2,"Very aggressive","Plausible")))</f>
        <v>Unrealistic</v>
      </c>
    </row>
    <row r="9" customFormat="false" ht="15" hidden="false" customHeight="false" outlineLevel="0" collapsed="false">
      <c r="A9" s="33" t="n">
        <v>6</v>
      </c>
      <c r="B9" s="12" t="n">
        <f aca="false">EDATE(Settings!$B$11,5)</f>
        <v>46327</v>
      </c>
      <c r="C9" s="34" t="n">
        <f aca="false">I8</f>
        <v>50270</v>
      </c>
      <c r="D9" s="34" t="n">
        <f aca="false">Settings!$B$5</f>
        <v>10000</v>
      </c>
      <c r="E9" s="34" t="n">
        <f aca="false">C9+D9</f>
        <v>60270</v>
      </c>
      <c r="F9" s="34" t="n">
        <f aca="false">SUMIFS('Trade Log'!$M:$M,'Trade Log'!$B:$B,TEXT(B9,"YYYY-MM"))</f>
        <v>0</v>
      </c>
      <c r="G9" s="34" t="n">
        <f aca="false">IF(F9&gt;=0,Settings!$B$6*F9,F9)</f>
        <v>0</v>
      </c>
      <c r="H9" s="34" t="n">
        <f aca="false">IF(F9&gt;=0,Settings!$B$7*F9,0)</f>
        <v>0</v>
      </c>
      <c r="I9" s="34" t="n">
        <f aca="false">E9+G9</f>
        <v>60270</v>
      </c>
      <c r="J9" s="34" t="n">
        <f aca="false">J8+H9</f>
        <v>270</v>
      </c>
      <c r="K9" s="34" t="n">
        <f aca="false">Settings!$B$10</f>
        <v>100000</v>
      </c>
      <c r="L9" s="10" t="n">
        <f aca="false">IF(K9=0,"",F9/K9)</f>
        <v>0</v>
      </c>
      <c r="M9" s="10" t="n">
        <f aca="false">IF(E9=0,"",K9/E9)</f>
        <v>1.65920026547204</v>
      </c>
      <c r="N9" s="35" t="str">
        <f aca="false">IF(E9=0,"",IF(K9/E9&gt;1,"Unrealistic",IF(K9/E9&gt;0.2,"Very aggressive","Plausible")))</f>
        <v>Unrealistic</v>
      </c>
    </row>
    <row r="10" customFormat="false" ht="15" hidden="false" customHeight="false" outlineLevel="0" collapsed="false">
      <c r="A10" s="36"/>
      <c r="B10" s="37" t="s">
        <v>83</v>
      </c>
      <c r="C10" s="36"/>
      <c r="D10" s="36"/>
      <c r="E10" s="36"/>
      <c r="F10" s="38" t="n">
        <f aca="false">SUM(F4:F9)</f>
        <v>540</v>
      </c>
      <c r="G10" s="38" t="n">
        <f aca="false">SUM(G4:G9)</f>
        <v>270</v>
      </c>
      <c r="H10" s="38" t="n">
        <f aca="false">SUM(H4:H9)</f>
        <v>270</v>
      </c>
      <c r="I10" s="38" t="n">
        <f aca="false">I9</f>
        <v>60270</v>
      </c>
      <c r="J10" s="38" t="n">
        <f aca="false">J9</f>
        <v>270</v>
      </c>
      <c r="K10" s="36"/>
      <c r="L10" s="36"/>
      <c r="M10" s="36"/>
      <c r="N10" s="36"/>
    </row>
    <row r="12" customFormat="false" ht="15" hidden="false" customHeight="false" outlineLevel="0" collapsed="false">
      <c r="B12" s="39" t="s">
        <v>84</v>
      </c>
    </row>
    <row r="13" customFormat="false" ht="15" hidden="false" customHeight="false" outlineLevel="0" collapsed="false">
      <c r="B13" s="40" t="s">
        <v>85</v>
      </c>
      <c r="E13" s="41" t="n">
        <f aca="false">I9</f>
        <v>60270</v>
      </c>
    </row>
    <row r="14" customFormat="false" ht="15" hidden="false" customHeight="false" outlineLevel="0" collapsed="false">
      <c r="B14" s="40" t="s">
        <v>86</v>
      </c>
      <c r="E14" s="41" t="n">
        <f aca="false">J9</f>
        <v>270</v>
      </c>
    </row>
    <row r="15" customFormat="false" ht="15" hidden="false" customHeight="false" outlineLevel="0" collapsed="false">
      <c r="B15" s="40" t="s">
        <v>87</v>
      </c>
      <c r="E15" s="42" t="str">
        <f aca="false">TEXT(MAX(L4:L9),"0.0%")</f>
        <v>0.5%</v>
      </c>
    </row>
    <row r="16" customFormat="false" ht="15" hidden="false" customHeight="false" outlineLevel="0" collapsed="false">
      <c r="B16" s="40" t="s">
        <v>88</v>
      </c>
      <c r="E16" s="41" t="n">
        <f aca="false">INDEX(F4:F9,MATCH(TRUE(),INDEX(F4:F9&lt;&gt;0,0),0))</f>
        <v>540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7"/>
  </cols>
  <sheetData>
    <row r="1" customFormat="false" ht="25.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3" t="s">
        <v>90</v>
      </c>
    </row>
    <row r="4" customFormat="false" ht="30" hidden="false" customHeight="true" outlineLevel="0" collapsed="false">
      <c r="A4" s="5" t="s">
        <v>91</v>
      </c>
      <c r="B4" s="5" t="s">
        <v>92</v>
      </c>
      <c r="C4" s="5" t="s">
        <v>93</v>
      </c>
    </row>
    <row r="5" customFormat="false" ht="15" hidden="false" customHeight="false" outlineLevel="0" collapsed="false">
      <c r="A5" s="44" t="n">
        <v>0.05</v>
      </c>
      <c r="B5" s="45" t="n">
        <f aca="false">Settings!$B$10/A5</f>
        <v>2000000</v>
      </c>
      <c r="C5" s="46" t="s">
        <v>94</v>
      </c>
    </row>
    <row r="6" customFormat="false" ht="15" hidden="false" customHeight="false" outlineLevel="0" collapsed="false">
      <c r="A6" s="44" t="n">
        <v>0.1</v>
      </c>
      <c r="B6" s="45" t="n">
        <f aca="false">Settings!$B$10/A6</f>
        <v>1000000</v>
      </c>
      <c r="C6" s="46" t="s">
        <v>95</v>
      </c>
    </row>
    <row r="7" customFormat="false" ht="15" hidden="false" customHeight="false" outlineLevel="0" collapsed="false">
      <c r="A7" s="44" t="n">
        <v>0.15</v>
      </c>
      <c r="B7" s="45" t="n">
        <f aca="false">Settings!$B$10/A7</f>
        <v>666666.666666667</v>
      </c>
      <c r="C7" s="46" t="s">
        <v>96</v>
      </c>
    </row>
    <row r="8" customFormat="false" ht="15" hidden="false" customHeight="false" outlineLevel="0" collapsed="false">
      <c r="A8" s="44" t="n">
        <v>0.2</v>
      </c>
      <c r="B8" s="45" t="n">
        <f aca="false">Settings!$B$10/A8</f>
        <v>500000</v>
      </c>
      <c r="C8" s="46" t="s">
        <v>97</v>
      </c>
    </row>
    <row r="9" customFormat="false" ht="15" hidden="false" customHeight="false" outlineLevel="0" collapsed="false">
      <c r="A9" s="44" t="n">
        <v>0.3</v>
      </c>
      <c r="B9" s="45" t="n">
        <f aca="false">Settings!$B$10/A9</f>
        <v>333333.333333333</v>
      </c>
      <c r="C9" s="46" t="s">
        <v>98</v>
      </c>
    </row>
    <row r="10" customFormat="false" ht="15" hidden="false" customHeight="false" outlineLevel="0" collapsed="false">
      <c r="A10" s="44" t="n">
        <v>0.5</v>
      </c>
      <c r="B10" s="45" t="n">
        <f aca="false">Settings!$B$10/A10</f>
        <v>200000</v>
      </c>
      <c r="C10" s="46" t="s">
        <v>99</v>
      </c>
    </row>
    <row r="13" customFormat="false" ht="15" hidden="false" customHeight="false" outlineLevel="0" collapsed="false">
      <c r="A13" s="43" t="s">
        <v>100</v>
      </c>
    </row>
    <row r="14" customFormat="false" ht="15" hidden="false" customHeight="false" outlineLevel="0" collapsed="false">
      <c r="A14" s="40" t="s">
        <v>101</v>
      </c>
      <c r="C14" s="47" t="n">
        <v>0.15</v>
      </c>
    </row>
    <row r="15" customFormat="false" ht="30" hidden="false" customHeight="true" outlineLevel="0" collapsed="false">
      <c r="A15" s="5" t="s">
        <v>50</v>
      </c>
      <c r="B15" s="5" t="s">
        <v>74</v>
      </c>
      <c r="C15" s="5" t="s">
        <v>102</v>
      </c>
      <c r="D15" s="5" t="s">
        <v>75</v>
      </c>
      <c r="E15" s="5" t="s">
        <v>77</v>
      </c>
      <c r="F15" s="5" t="s">
        <v>103</v>
      </c>
      <c r="G15" s="5" t="s">
        <v>104</v>
      </c>
    </row>
    <row r="16" customFormat="false" ht="15" hidden="false" customHeight="false" outlineLevel="0" collapsed="false">
      <c r="A16" s="6" t="n">
        <v>1</v>
      </c>
      <c r="B16" s="45" t="n">
        <f aca="false">Settings!$B$4+Settings!$B$5</f>
        <v>10000</v>
      </c>
      <c r="C16" s="45" t="n">
        <f aca="false">B16*$C$14</f>
        <v>1500</v>
      </c>
      <c r="D16" s="45" t="n">
        <f aca="false">Settings!$B$6*C16</f>
        <v>750</v>
      </c>
      <c r="E16" s="45" t="n">
        <f aca="false">B16+D16</f>
        <v>10750</v>
      </c>
      <c r="F16" s="45" t="n">
        <f aca="false">C16-Settings!$B$10</f>
        <v>-98500</v>
      </c>
      <c r="G16" s="45" t="n">
        <f aca="false">Settings!$B$7*C16</f>
        <v>750</v>
      </c>
    </row>
    <row r="17" customFormat="false" ht="15" hidden="false" customHeight="false" outlineLevel="0" collapsed="false">
      <c r="A17" s="6" t="n">
        <v>2</v>
      </c>
      <c r="B17" s="45" t="n">
        <f aca="false">E16+Settings!$B$5</f>
        <v>20750</v>
      </c>
      <c r="C17" s="45" t="n">
        <f aca="false">B17*$C$14</f>
        <v>3112.5</v>
      </c>
      <c r="D17" s="45" t="n">
        <f aca="false">Settings!$B$6*C17</f>
        <v>1556.25</v>
      </c>
      <c r="E17" s="45" t="n">
        <f aca="false">B17+D17</f>
        <v>22306.25</v>
      </c>
      <c r="F17" s="45" t="n">
        <f aca="false">C17-Settings!$B$10</f>
        <v>-96887.5</v>
      </c>
      <c r="G17" s="45" t="n">
        <f aca="false">G16+Settings!$B$7*C17</f>
        <v>2306.25</v>
      </c>
    </row>
    <row r="18" customFormat="false" ht="15" hidden="false" customHeight="false" outlineLevel="0" collapsed="false">
      <c r="A18" s="6" t="n">
        <v>3</v>
      </c>
      <c r="B18" s="45" t="n">
        <f aca="false">E17+Settings!$B$5</f>
        <v>32306.25</v>
      </c>
      <c r="C18" s="45" t="n">
        <f aca="false">B18*$C$14</f>
        <v>4845.9375</v>
      </c>
      <c r="D18" s="45" t="n">
        <f aca="false">Settings!$B$6*C18</f>
        <v>2422.96875</v>
      </c>
      <c r="E18" s="45" t="n">
        <f aca="false">B18+D18</f>
        <v>34729.21875</v>
      </c>
      <c r="F18" s="45" t="n">
        <f aca="false">C18-Settings!$B$10</f>
        <v>-95154.0625</v>
      </c>
      <c r="G18" s="45" t="n">
        <f aca="false">G17+Settings!$B$7*C18</f>
        <v>4729.21875</v>
      </c>
    </row>
    <row r="19" customFormat="false" ht="15" hidden="false" customHeight="false" outlineLevel="0" collapsed="false">
      <c r="A19" s="6" t="n">
        <v>4</v>
      </c>
      <c r="B19" s="45" t="n">
        <f aca="false">E18+Settings!$B$5</f>
        <v>44729.21875</v>
      </c>
      <c r="C19" s="45" t="n">
        <f aca="false">B19*$C$14</f>
        <v>6709.3828125</v>
      </c>
      <c r="D19" s="45" t="n">
        <f aca="false">Settings!$B$6*C19</f>
        <v>3354.69140625</v>
      </c>
      <c r="E19" s="45" t="n">
        <f aca="false">B19+D19</f>
        <v>48083.91015625</v>
      </c>
      <c r="F19" s="45" t="n">
        <f aca="false">C19-Settings!$B$10</f>
        <v>-93290.6171875</v>
      </c>
      <c r="G19" s="45" t="n">
        <f aca="false">G18+Settings!$B$7*C19</f>
        <v>8083.91015625</v>
      </c>
    </row>
    <row r="20" customFormat="false" ht="15" hidden="false" customHeight="false" outlineLevel="0" collapsed="false">
      <c r="A20" s="6" t="n">
        <v>5</v>
      </c>
      <c r="B20" s="45" t="n">
        <f aca="false">E19+Settings!$B$5</f>
        <v>58083.91015625</v>
      </c>
      <c r="C20" s="45" t="n">
        <f aca="false">B20*$C$14</f>
        <v>8712.5865234375</v>
      </c>
      <c r="D20" s="45" t="n">
        <f aca="false">Settings!$B$6*C20</f>
        <v>4356.29326171875</v>
      </c>
      <c r="E20" s="45" t="n">
        <f aca="false">B20+D20</f>
        <v>62440.2034179688</v>
      </c>
      <c r="F20" s="45" t="n">
        <f aca="false">C20-Settings!$B$10</f>
        <v>-91287.4134765625</v>
      </c>
      <c r="G20" s="45" t="n">
        <f aca="false">G19+Settings!$B$7*C20</f>
        <v>12440.2034179688</v>
      </c>
    </row>
    <row r="21" customFormat="false" ht="15" hidden="false" customHeight="false" outlineLevel="0" collapsed="false">
      <c r="A21" s="6" t="n">
        <v>6</v>
      </c>
      <c r="B21" s="45" t="n">
        <f aca="false">E20+Settings!$B$5</f>
        <v>72440.2034179688</v>
      </c>
      <c r="C21" s="45" t="n">
        <f aca="false">B21*$C$14</f>
        <v>10866.0305126953</v>
      </c>
      <c r="D21" s="45" t="n">
        <f aca="false">Settings!$B$6*C21</f>
        <v>5433.01525634766</v>
      </c>
      <c r="E21" s="45" t="n">
        <f aca="false">B21+D21</f>
        <v>77873.2186743164</v>
      </c>
      <c r="F21" s="45" t="n">
        <f aca="false">C21-Settings!$B$10</f>
        <v>-89133.9694873047</v>
      </c>
      <c r="G21" s="45" t="n">
        <f aca="false">G20+Settings!$B$7*C21</f>
        <v>17873.2186743164</v>
      </c>
    </row>
    <row r="23" customFormat="false" ht="15" hidden="false" customHeight="false" outlineLevel="0" collapsed="false">
      <c r="A23" s="43" t="s">
        <v>105</v>
      </c>
    </row>
    <row r="24" customFormat="false" ht="15" hidden="false" customHeight="false" outlineLevel="0" collapsed="false">
      <c r="A24" s="48" t="str">
        <f aca="false">IF(C21&gt;=Settings!$B$10,"At this return, the plan reaches ₱100k/month within 6 months.","At this return, month 6 profit is "&amp;TEXT(C21,"₱#,##0")&amp;" — short of ₱100k. To close the gap: raise starting capital, extend the horizon, or revise the target.")</f>
        <v>At this return, month 6 profit is ₱10,866 — short of ₱100k. To close the gap: raise starting capital, extend the horizon, or revise the target.</v>
      </c>
      <c r="B24" s="48"/>
      <c r="C24" s="48"/>
      <c r="D24" s="48"/>
      <c r="E24" s="48"/>
      <c r="F24" s="48"/>
      <c r="G24" s="48"/>
    </row>
    <row r="25" customFormat="false" ht="15" hidden="false" customHeight="false" outlineLevel="0" collapsed="false">
      <c r="A25" s="48"/>
      <c r="B25" s="48"/>
      <c r="C25" s="48"/>
      <c r="D25" s="48"/>
      <c r="E25" s="48"/>
      <c r="F25" s="48"/>
      <c r="G25" s="48"/>
    </row>
  </sheetData>
  <mergeCells count="2">
    <mergeCell ref="A1:G1"/>
    <mergeCell ref="A24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2026-06-18T19:58:28Z</dcterms:created>
  <dc:creator>openpyxl</dc:creator>
  <dc:description/>
  <dc:language>en-US</dc:language>
  <cp:lastModifiedBy/>
  <dcterms:modified xsi:type="dcterms:W3CDTF">2026-06-18T19:58:30Z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